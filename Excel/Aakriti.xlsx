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an.mairhofer\Projects\Excel_Mohanta\260129\"/>
    </mc:Choice>
  </mc:AlternateContent>
  <xr:revisionPtr revIDLastSave="0" documentId="8_{93AE66AC-07D5-48FC-81E5-B8FA92CAE61D}" xr6:coauthVersionLast="47" xr6:coauthVersionMax="47" xr10:uidLastSave="{00000000-0000-0000-0000-000000000000}"/>
  <bookViews>
    <workbookView xWindow="69825" yWindow="1170" windowWidth="33405" windowHeight="20280" xr2:uid="{EC37312D-FEC4-4859-8613-DE8228AD6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3" i="1" l="1"/>
  <c r="AC162" i="1"/>
  <c r="U162" i="1"/>
  <c r="U163" i="1" s="1"/>
  <c r="T162" i="1"/>
  <c r="V162" i="1" s="1"/>
  <c r="AC161" i="1"/>
  <c r="U161" i="1"/>
  <c r="T161" i="1"/>
  <c r="AC160" i="1"/>
  <c r="U160" i="1"/>
  <c r="AC159" i="1"/>
  <c r="AC158" i="1"/>
  <c r="V158" i="1"/>
  <c r="X158" i="1" s="1"/>
  <c r="Y158" i="1" s="1"/>
  <c r="U158" i="1"/>
  <c r="U159" i="1" s="1"/>
  <c r="T158" i="1"/>
  <c r="T159" i="1" s="1"/>
  <c r="AC157" i="1"/>
  <c r="AC156" i="1"/>
  <c r="AC155" i="1"/>
  <c r="U155" i="1"/>
  <c r="U156" i="1" s="1"/>
  <c r="U157" i="1" s="1"/>
  <c r="T155" i="1"/>
  <c r="T156" i="1" s="1"/>
  <c r="V156" i="1" s="1"/>
  <c r="AC154" i="1"/>
  <c r="AC153" i="1"/>
  <c r="U153" i="1"/>
  <c r="U154" i="1" s="1"/>
  <c r="T153" i="1"/>
  <c r="AC152" i="1"/>
  <c r="U152" i="1"/>
  <c r="T152" i="1"/>
  <c r="AF148" i="1"/>
  <c r="AC147" i="1"/>
  <c r="X147" i="1"/>
  <c r="Y147" i="1" s="1"/>
  <c r="AC146" i="1"/>
  <c r="V146" i="1"/>
  <c r="U146" i="1"/>
  <c r="U147" i="1" s="1"/>
  <c r="T146" i="1"/>
  <c r="T147" i="1" s="1"/>
  <c r="V147" i="1" s="1"/>
  <c r="W147" i="1" s="1"/>
  <c r="AC145" i="1"/>
  <c r="AC144" i="1"/>
  <c r="U144" i="1"/>
  <c r="U145" i="1" s="1"/>
  <c r="T144" i="1"/>
  <c r="AC143" i="1"/>
  <c r="U143" i="1"/>
  <c r="T143" i="1"/>
  <c r="AC142" i="1"/>
  <c r="AC141" i="1"/>
  <c r="AC140" i="1"/>
  <c r="X140" i="1"/>
  <c r="Y140" i="1" s="1"/>
  <c r="W140" i="1"/>
  <c r="Z140" i="1" s="1"/>
  <c r="V140" i="1"/>
  <c r="U140" i="1"/>
  <c r="U141" i="1" s="1"/>
  <c r="U142" i="1" s="1"/>
  <c r="T140" i="1"/>
  <c r="T141" i="1" s="1"/>
  <c r="AC139" i="1"/>
  <c r="T139" i="1"/>
  <c r="V139" i="1" s="1"/>
  <c r="AC138" i="1"/>
  <c r="V138" i="1"/>
  <c r="AC137" i="1"/>
  <c r="U137" i="1"/>
  <c r="U138" i="1" s="1"/>
  <c r="U139" i="1" s="1"/>
  <c r="T137" i="1"/>
  <c r="T138" i="1" s="1"/>
  <c r="V137" i="1" s="1"/>
  <c r="AC136" i="1"/>
  <c r="AC135" i="1"/>
  <c r="U135" i="1"/>
  <c r="U136" i="1" s="1"/>
  <c r="T135" i="1"/>
  <c r="AC134" i="1"/>
  <c r="U134" i="1"/>
  <c r="T134" i="1"/>
  <c r="AC133" i="1"/>
  <c r="U133" i="1"/>
  <c r="AC132" i="1"/>
  <c r="AC131" i="1"/>
  <c r="U131" i="1"/>
  <c r="U132" i="1" s="1"/>
  <c r="T131" i="1"/>
  <c r="T132" i="1" s="1"/>
  <c r="AC130" i="1"/>
  <c r="AC129" i="1"/>
  <c r="U129" i="1"/>
  <c r="U130" i="1" s="1"/>
  <c r="AC128" i="1"/>
  <c r="U128" i="1"/>
  <c r="T128" i="1"/>
  <c r="T129" i="1" s="1"/>
  <c r="AC127" i="1"/>
  <c r="AC126" i="1"/>
  <c r="T126" i="1"/>
  <c r="AC125" i="1"/>
  <c r="U125" i="1"/>
  <c r="U126" i="1" s="1"/>
  <c r="U127" i="1" s="1"/>
  <c r="T125" i="1"/>
  <c r="AC124" i="1"/>
  <c r="AC123" i="1"/>
  <c r="AC122" i="1"/>
  <c r="V122" i="1"/>
  <c r="U122" i="1"/>
  <c r="U123" i="1" s="1"/>
  <c r="U124" i="1" s="1"/>
  <c r="T122" i="1"/>
  <c r="T123" i="1" s="1"/>
  <c r="V123" i="1" s="1"/>
  <c r="X123" i="1" s="1"/>
  <c r="Y123" i="1" s="1"/>
  <c r="AC121" i="1"/>
  <c r="AC120" i="1"/>
  <c r="V120" i="1"/>
  <c r="U120" i="1"/>
  <c r="U121" i="1" s="1"/>
  <c r="T120" i="1"/>
  <c r="AC119" i="1"/>
  <c r="U119" i="1"/>
  <c r="T119" i="1"/>
  <c r="AC118" i="1"/>
  <c r="AC117" i="1"/>
  <c r="AC116" i="1"/>
  <c r="U116" i="1"/>
  <c r="U117" i="1" s="1"/>
  <c r="V116" i="1" s="1"/>
  <c r="T116" i="1"/>
  <c r="T117" i="1" s="1"/>
  <c r="AC115" i="1"/>
  <c r="T115" i="1"/>
  <c r="V115" i="1" s="1"/>
  <c r="AC114" i="1"/>
  <c r="V114" i="1"/>
  <c r="AC113" i="1"/>
  <c r="U113" i="1"/>
  <c r="U114" i="1" s="1"/>
  <c r="U115" i="1" s="1"/>
  <c r="T113" i="1"/>
  <c r="T114" i="1" s="1"/>
  <c r="V113" i="1" s="1"/>
  <c r="AC109" i="1"/>
  <c r="AC108" i="1"/>
  <c r="U108" i="1"/>
  <c r="U109" i="1" s="1"/>
  <c r="T108" i="1"/>
  <c r="AC107" i="1"/>
  <c r="U107" i="1"/>
  <c r="T107" i="1"/>
  <c r="AC106" i="1"/>
  <c r="U106" i="1"/>
  <c r="AC105" i="1"/>
  <c r="AC104" i="1"/>
  <c r="U104" i="1"/>
  <c r="U105" i="1" s="1"/>
  <c r="T104" i="1"/>
  <c r="T105" i="1" s="1"/>
  <c r="AC103" i="1"/>
  <c r="AC102" i="1"/>
  <c r="U102" i="1"/>
  <c r="U103" i="1" s="1"/>
  <c r="AC101" i="1"/>
  <c r="U101" i="1"/>
  <c r="T101" i="1"/>
  <c r="T102" i="1" s="1"/>
  <c r="AC100" i="1"/>
  <c r="AC99" i="1"/>
  <c r="AC98" i="1"/>
  <c r="U98" i="1"/>
  <c r="U99" i="1" s="1"/>
  <c r="U100" i="1" s="1"/>
  <c r="T98" i="1"/>
  <c r="T99" i="1" s="1"/>
  <c r="AC97" i="1"/>
  <c r="AC96" i="1"/>
  <c r="T96" i="1"/>
  <c r="T97" i="1" s="1"/>
  <c r="AC95" i="1"/>
  <c r="V95" i="1"/>
  <c r="U95" i="1"/>
  <c r="U96" i="1" s="1"/>
  <c r="U97" i="1" s="1"/>
  <c r="T95" i="1"/>
  <c r="AC94" i="1"/>
  <c r="U94" i="1"/>
  <c r="AC93" i="1"/>
  <c r="U93" i="1"/>
  <c r="AC92" i="1"/>
  <c r="U92" i="1"/>
  <c r="T92" i="1"/>
  <c r="T93" i="1" s="1"/>
  <c r="V92" i="1" s="1"/>
  <c r="AC91" i="1"/>
  <c r="AC90" i="1"/>
  <c r="V90" i="1"/>
  <c r="T90" i="1"/>
  <c r="AC89" i="1"/>
  <c r="U89" i="1"/>
  <c r="U90" i="1" s="1"/>
  <c r="U91" i="1" s="1"/>
  <c r="T89" i="1"/>
  <c r="AC88" i="1"/>
  <c r="U88" i="1"/>
  <c r="AC87" i="1"/>
  <c r="AC86" i="1"/>
  <c r="V86" i="1"/>
  <c r="U86" i="1"/>
  <c r="U87" i="1" s="1"/>
  <c r="T86" i="1"/>
  <c r="T87" i="1" s="1"/>
  <c r="AC85" i="1"/>
  <c r="T85" i="1"/>
  <c r="AC84" i="1"/>
  <c r="T84" i="1"/>
  <c r="AC83" i="1"/>
  <c r="U83" i="1"/>
  <c r="U84" i="1" s="1"/>
  <c r="T83" i="1"/>
  <c r="AC82" i="1"/>
  <c r="AC81" i="1"/>
  <c r="U81" i="1"/>
  <c r="U82" i="1" s="1"/>
  <c r="AC80" i="1"/>
  <c r="U80" i="1"/>
  <c r="T80" i="1"/>
  <c r="T81" i="1" s="1"/>
  <c r="AC72" i="1"/>
  <c r="AC71" i="1"/>
  <c r="AC70" i="1"/>
  <c r="U70" i="1"/>
  <c r="U71" i="1" s="1"/>
  <c r="U72" i="1" s="1"/>
  <c r="T70" i="1"/>
  <c r="T71" i="1" s="1"/>
  <c r="AC69" i="1"/>
  <c r="AC68" i="1"/>
  <c r="U68" i="1"/>
  <c r="U69" i="1" s="1"/>
  <c r="T68" i="1"/>
  <c r="AC67" i="1"/>
  <c r="U67" i="1"/>
  <c r="T67" i="1"/>
  <c r="AC66" i="1"/>
  <c r="U66" i="1"/>
  <c r="AC65" i="1"/>
  <c r="U65" i="1"/>
  <c r="T65" i="1"/>
  <c r="V64" i="1" s="1"/>
  <c r="AC64" i="1"/>
  <c r="U64" i="1"/>
  <c r="T64" i="1"/>
  <c r="AC51" i="1"/>
  <c r="U51" i="1"/>
  <c r="AC50" i="1"/>
  <c r="U50" i="1"/>
  <c r="AC49" i="1"/>
  <c r="V49" i="1"/>
  <c r="U49" i="1"/>
  <c r="T49" i="1"/>
  <c r="T50" i="1" s="1"/>
  <c r="T51" i="1" s="1"/>
  <c r="AC48" i="1"/>
  <c r="AC47" i="1"/>
  <c r="T47" i="1"/>
  <c r="AC46" i="1"/>
  <c r="U46" i="1"/>
  <c r="U47" i="1" s="1"/>
  <c r="U48" i="1" s="1"/>
  <c r="T46" i="1"/>
  <c r="AC45" i="1"/>
  <c r="U45" i="1"/>
  <c r="T45" i="1"/>
  <c r="AC44" i="1"/>
  <c r="T44" i="1"/>
  <c r="AC43" i="1"/>
  <c r="U43" i="1"/>
  <c r="U44" i="1" s="1"/>
  <c r="V43" i="1" s="1"/>
  <c r="T43" i="1"/>
  <c r="AF39" i="1"/>
  <c r="AC38" i="1"/>
  <c r="U38" i="1"/>
  <c r="T38" i="1"/>
  <c r="AC37" i="1"/>
  <c r="U37" i="1"/>
  <c r="T37" i="1"/>
  <c r="AC32" i="1"/>
  <c r="U32" i="1"/>
  <c r="AC31" i="1"/>
  <c r="U31" i="1"/>
  <c r="T31" i="1"/>
  <c r="AC30" i="1"/>
  <c r="U30" i="1"/>
  <c r="T30" i="1"/>
  <c r="AC29" i="1"/>
  <c r="U29" i="1"/>
  <c r="AC28" i="1"/>
  <c r="V28" i="1"/>
  <c r="W28" i="1" s="1"/>
  <c r="U28" i="1"/>
  <c r="AC27" i="1"/>
  <c r="V27" i="1"/>
  <c r="X27" i="1" s="1"/>
  <c r="Y27" i="1" s="1"/>
  <c r="U27" i="1"/>
  <c r="T27" i="1"/>
  <c r="T28" i="1" s="1"/>
  <c r="T29" i="1" s="1"/>
  <c r="AC23" i="1"/>
  <c r="AC22" i="1"/>
  <c r="T22" i="1"/>
  <c r="T23" i="1" s="1"/>
  <c r="AC21" i="1"/>
  <c r="U21" i="1"/>
  <c r="U22" i="1" s="1"/>
  <c r="U23" i="1" s="1"/>
  <c r="T21" i="1"/>
  <c r="AC20" i="1"/>
  <c r="AC19" i="1"/>
  <c r="AC18" i="1"/>
  <c r="U18" i="1"/>
  <c r="U19" i="1" s="1"/>
  <c r="U20" i="1" s="1"/>
  <c r="T18" i="1"/>
  <c r="T19" i="1" s="1"/>
  <c r="AC17" i="1"/>
  <c r="AC16" i="1"/>
  <c r="AC15" i="1"/>
  <c r="U15" i="1"/>
  <c r="U16" i="1" s="1"/>
  <c r="U17" i="1" s="1"/>
  <c r="T15" i="1"/>
  <c r="T16" i="1" s="1"/>
  <c r="AC14" i="1"/>
  <c r="AC13" i="1"/>
  <c r="U13" i="1"/>
  <c r="U14" i="1" s="1"/>
  <c r="T13" i="1"/>
  <c r="V12" i="1" s="1"/>
  <c r="AC12" i="1"/>
  <c r="U12" i="1"/>
  <c r="T12" i="1"/>
  <c r="AC11" i="1"/>
  <c r="U11" i="1"/>
  <c r="AC10" i="1"/>
  <c r="U10" i="1"/>
  <c r="T10" i="1"/>
  <c r="T11" i="1" s="1"/>
  <c r="V11" i="1" s="1"/>
  <c r="AC9" i="1"/>
  <c r="V9" i="1"/>
  <c r="U9" i="1"/>
  <c r="T9" i="1"/>
  <c r="AC8" i="1"/>
  <c r="AC7" i="1"/>
  <c r="AC6" i="1"/>
  <c r="U6" i="1"/>
  <c r="U7" i="1" s="1"/>
  <c r="U8" i="1" s="1"/>
  <c r="T6" i="1"/>
  <c r="T7" i="1" s="1"/>
  <c r="T20" i="1" l="1"/>
  <c r="V20" i="1" s="1"/>
  <c r="V19" i="1"/>
  <c r="V18" i="1"/>
  <c r="X92" i="1"/>
  <c r="Y92" i="1" s="1"/>
  <c r="W92" i="1"/>
  <c r="Z92" i="1" s="1"/>
  <c r="X11" i="1"/>
  <c r="Y11" i="1" s="1"/>
  <c r="W11" i="1"/>
  <c r="V16" i="1"/>
  <c r="T17" i="1"/>
  <c r="V17" i="1" s="1"/>
  <c r="V15" i="1"/>
  <c r="X12" i="1"/>
  <c r="Y12" i="1" s="1"/>
  <c r="W12" i="1"/>
  <c r="AB12" i="1"/>
  <c r="AF12" i="1" s="1"/>
  <c r="W43" i="1"/>
  <c r="Z43" i="1" s="1"/>
  <c r="X43" i="1"/>
  <c r="Y43" i="1" s="1"/>
  <c r="X64" i="1"/>
  <c r="Y64" i="1" s="1"/>
  <c r="W64" i="1"/>
  <c r="Z64" i="1" s="1"/>
  <c r="U85" i="1"/>
  <c r="V85" i="1" s="1"/>
  <c r="V83" i="1"/>
  <c r="V84" i="1"/>
  <c r="V7" i="1"/>
  <c r="V6" i="1"/>
  <c r="T8" i="1"/>
  <c r="V8" i="1" s="1"/>
  <c r="W9" i="1"/>
  <c r="Z9" i="1" s="1"/>
  <c r="V132" i="1"/>
  <c r="T133" i="1"/>
  <c r="V133" i="1" s="1"/>
  <c r="V131" i="1"/>
  <c r="X9" i="1"/>
  <c r="Y9" i="1" s="1"/>
  <c r="V13" i="1"/>
  <c r="V23" i="1"/>
  <c r="W27" i="1"/>
  <c r="Z27" i="1" s="1"/>
  <c r="V44" i="1"/>
  <c r="V71" i="1"/>
  <c r="V70" i="1"/>
  <c r="V80" i="1"/>
  <c r="T82" i="1"/>
  <c r="V82" i="1" s="1"/>
  <c r="V81" i="1"/>
  <c r="V89" i="1"/>
  <c r="V105" i="1"/>
  <c r="T106" i="1"/>
  <c r="V106" i="1" s="1"/>
  <c r="V104" i="1"/>
  <c r="V128" i="1"/>
  <c r="T130" i="1"/>
  <c r="V130" i="1" s="1"/>
  <c r="V129" i="1"/>
  <c r="T14" i="1"/>
  <c r="V14" i="1" s="1"/>
  <c r="V46" i="1"/>
  <c r="T48" i="1"/>
  <c r="V48" i="1" s="1"/>
  <c r="X116" i="1"/>
  <c r="Y116" i="1" s="1"/>
  <c r="W116" i="1"/>
  <c r="AB28" i="1"/>
  <c r="AF28" i="1" s="1"/>
  <c r="X28" i="1"/>
  <c r="Y28" i="1" s="1"/>
  <c r="Z28" i="1" s="1"/>
  <c r="T32" i="1"/>
  <c r="V32" i="1" s="1"/>
  <c r="V31" i="1"/>
  <c r="V98" i="1"/>
  <c r="T100" i="1"/>
  <c r="V100" i="1" s="1"/>
  <c r="V99" i="1"/>
  <c r="V10" i="1"/>
  <c r="V30" i="1"/>
  <c r="V47" i="1"/>
  <c r="V50" i="1"/>
  <c r="T72" i="1"/>
  <c r="V72" i="1" s="1"/>
  <c r="AB138" i="1"/>
  <c r="AF138" i="1" s="1"/>
  <c r="X138" i="1"/>
  <c r="Y138" i="1" s="1"/>
  <c r="W138" i="1"/>
  <c r="Z138" i="1" s="1"/>
  <c r="Z147" i="1"/>
  <c r="AB156" i="1"/>
  <c r="AF156" i="1" s="1"/>
  <c r="X156" i="1"/>
  <c r="Y156" i="1" s="1"/>
  <c r="W156" i="1"/>
  <c r="Z156" i="1" s="1"/>
  <c r="T66" i="1"/>
  <c r="V66" i="1" s="1"/>
  <c r="V65" i="1"/>
  <c r="V21" i="1"/>
  <c r="V22" i="1"/>
  <c r="AB27" i="1"/>
  <c r="AF27" i="1" s="1"/>
  <c r="AB90" i="1"/>
  <c r="AF90" i="1" s="1"/>
  <c r="X90" i="1"/>
  <c r="Y90" i="1" s="1"/>
  <c r="W90" i="1"/>
  <c r="Z90" i="1" s="1"/>
  <c r="V51" i="1"/>
  <c r="T88" i="1"/>
  <c r="V88" i="1" s="1"/>
  <c r="V87" i="1"/>
  <c r="X114" i="1"/>
  <c r="Y114" i="1" s="1"/>
  <c r="W114" i="1"/>
  <c r="X122" i="1"/>
  <c r="Y122" i="1" s="1"/>
  <c r="W122" i="1"/>
  <c r="Z122" i="1" s="1"/>
  <c r="X162" i="1"/>
  <c r="Y162" i="1" s="1"/>
  <c r="W162" i="1"/>
  <c r="V67" i="1"/>
  <c r="T69" i="1"/>
  <c r="V69" i="1" s="1"/>
  <c r="V68" i="1"/>
  <c r="V37" i="1"/>
  <c r="V38" i="1"/>
  <c r="V29" i="1"/>
  <c r="V45" i="1"/>
  <c r="V97" i="1"/>
  <c r="AB146" i="1"/>
  <c r="AF146" i="1" s="1"/>
  <c r="X146" i="1"/>
  <c r="Y146" i="1" s="1"/>
  <c r="W146" i="1"/>
  <c r="X49" i="1"/>
  <c r="Y49" i="1" s="1"/>
  <c r="W49" i="1"/>
  <c r="Z49" i="1" s="1"/>
  <c r="AB86" i="1"/>
  <c r="AF86" i="1" s="1"/>
  <c r="W86" i="1"/>
  <c r="Z86" i="1" s="1"/>
  <c r="T94" i="1"/>
  <c r="V94" i="1" s="1"/>
  <c r="V93" i="1"/>
  <c r="X86" i="1"/>
  <c r="Y86" i="1" s="1"/>
  <c r="U118" i="1"/>
  <c r="T157" i="1"/>
  <c r="V157" i="1" s="1"/>
  <c r="V107" i="1"/>
  <c r="T109" i="1"/>
  <c r="V109" i="1" s="1"/>
  <c r="V108" i="1"/>
  <c r="T124" i="1"/>
  <c r="V124" i="1" s="1"/>
  <c r="V134" i="1"/>
  <c r="T136" i="1"/>
  <c r="V136" i="1" s="1"/>
  <c r="V135" i="1"/>
  <c r="AJ148" i="1"/>
  <c r="AH39" i="1"/>
  <c r="AJ39" i="1" s="1"/>
  <c r="T91" i="1"/>
  <c r="V91" i="1" s="1"/>
  <c r="T118" i="1"/>
  <c r="V117" i="1"/>
  <c r="T142" i="1"/>
  <c r="V142" i="1" s="1"/>
  <c r="V141" i="1"/>
  <c r="AH148" i="1"/>
  <c r="V152" i="1"/>
  <c r="T154" i="1"/>
  <c r="V154" i="1" s="1"/>
  <c r="V153" i="1"/>
  <c r="V96" i="1"/>
  <c r="X113" i="1"/>
  <c r="W113" i="1"/>
  <c r="X137" i="1"/>
  <c r="W137" i="1"/>
  <c r="T160" i="1"/>
  <c r="V160" i="1" s="1"/>
  <c r="V159" i="1"/>
  <c r="V101" i="1"/>
  <c r="T103" i="1"/>
  <c r="V103" i="1" s="1"/>
  <c r="V102" i="1"/>
  <c r="V119" i="1"/>
  <c r="T121" i="1"/>
  <c r="V121" i="1" s="1"/>
  <c r="W123" i="1"/>
  <c r="Z123" i="1" s="1"/>
  <c r="AB140" i="1"/>
  <c r="AF140" i="1" s="1"/>
  <c r="AH140" i="1" s="1"/>
  <c r="V143" i="1"/>
  <c r="T145" i="1"/>
  <c r="V145" i="1" s="1"/>
  <c r="V155" i="1"/>
  <c r="AB158" i="1"/>
  <c r="AF158" i="1" s="1"/>
  <c r="V161" i="1"/>
  <c r="T163" i="1"/>
  <c r="V163" i="1" s="1"/>
  <c r="X95" i="1"/>
  <c r="Y95" i="1" s="1"/>
  <c r="W95" i="1"/>
  <c r="X115" i="1"/>
  <c r="W115" i="1"/>
  <c r="AB120" i="1"/>
  <c r="AF120" i="1" s="1"/>
  <c r="X120" i="1"/>
  <c r="Y120" i="1" s="1"/>
  <c r="W120" i="1"/>
  <c r="AB123" i="1"/>
  <c r="AF123" i="1" s="1"/>
  <c r="V125" i="1"/>
  <c r="T127" i="1"/>
  <c r="V127" i="1" s="1"/>
  <c r="V126" i="1"/>
  <c r="X139" i="1"/>
  <c r="W139" i="1"/>
  <c r="V144" i="1"/>
  <c r="AB147" i="1"/>
  <c r="AF147" i="1" s="1"/>
  <c r="W158" i="1"/>
  <c r="Z158" i="1" s="1"/>
  <c r="AJ28" i="1" l="1"/>
  <c r="AH28" i="1"/>
  <c r="X85" i="1"/>
  <c r="Y85" i="1" s="1"/>
  <c r="W85" i="1"/>
  <c r="W145" i="1"/>
  <c r="AB145" i="1"/>
  <c r="AF145" i="1" s="1"/>
  <c r="X145" i="1"/>
  <c r="Y145" i="1" s="1"/>
  <c r="X91" i="1"/>
  <c r="Y91" i="1" s="1"/>
  <c r="W91" i="1"/>
  <c r="AB45" i="1"/>
  <c r="AF45" i="1" s="1"/>
  <c r="X45" i="1"/>
  <c r="Y45" i="1" s="1"/>
  <c r="W45" i="1"/>
  <c r="X21" i="1"/>
  <c r="Y21" i="1" s="1"/>
  <c r="W21" i="1"/>
  <c r="Z21" i="1" s="1"/>
  <c r="X104" i="1"/>
  <c r="Y104" i="1" s="1"/>
  <c r="W104" i="1"/>
  <c r="AB70" i="1"/>
  <c r="AF70" i="1" s="1"/>
  <c r="X70" i="1"/>
  <c r="Y70" i="1" s="1"/>
  <c r="W70" i="1"/>
  <c r="Z70" i="1" s="1"/>
  <c r="X133" i="1"/>
  <c r="Y133" i="1" s="1"/>
  <c r="W133" i="1"/>
  <c r="X83" i="1"/>
  <c r="Y83" i="1" s="1"/>
  <c r="W83" i="1"/>
  <c r="X20" i="1"/>
  <c r="Y20" i="1" s="1"/>
  <c r="W20" i="1"/>
  <c r="Z20" i="1" s="1"/>
  <c r="AB20" i="1"/>
  <c r="AF20" i="1" s="1"/>
  <c r="AB127" i="1"/>
  <c r="AF127" i="1" s="1"/>
  <c r="X127" i="1"/>
  <c r="Y127" i="1" s="1"/>
  <c r="W127" i="1"/>
  <c r="Z127" i="1" s="1"/>
  <c r="Z95" i="1"/>
  <c r="X143" i="1"/>
  <c r="Y143" i="1" s="1"/>
  <c r="W143" i="1"/>
  <c r="AB143" i="1"/>
  <c r="AF143" i="1" s="1"/>
  <c r="X159" i="1"/>
  <c r="Y159" i="1" s="1"/>
  <c r="W159" i="1"/>
  <c r="Z159" i="1" s="1"/>
  <c r="AB154" i="1"/>
  <c r="AF154" i="1" s="1"/>
  <c r="W154" i="1"/>
  <c r="Z154" i="1" s="1"/>
  <c r="X154" i="1"/>
  <c r="Y154" i="1" s="1"/>
  <c r="W107" i="1"/>
  <c r="AB107" i="1"/>
  <c r="AF107" i="1" s="1"/>
  <c r="X107" i="1"/>
  <c r="Y107" i="1" s="1"/>
  <c r="X29" i="1"/>
  <c r="Y29" i="1" s="1"/>
  <c r="W29" i="1"/>
  <c r="AB162" i="1"/>
  <c r="AF162" i="1" s="1"/>
  <c r="AB88" i="1"/>
  <c r="AF88" i="1" s="1"/>
  <c r="X88" i="1"/>
  <c r="Y88" i="1" s="1"/>
  <c r="W88" i="1"/>
  <c r="Z88" i="1" s="1"/>
  <c r="X65" i="1"/>
  <c r="Y65" i="1" s="1"/>
  <c r="W65" i="1"/>
  <c r="Z65" i="1" s="1"/>
  <c r="W100" i="1"/>
  <c r="Z100" i="1" s="1"/>
  <c r="X100" i="1"/>
  <c r="Y100" i="1" s="1"/>
  <c r="AB116" i="1"/>
  <c r="AF116" i="1" s="1"/>
  <c r="AB106" i="1"/>
  <c r="AF106" i="1" s="1"/>
  <c r="X106" i="1"/>
  <c r="Y106" i="1" s="1"/>
  <c r="W106" i="1"/>
  <c r="Z106" i="1" s="1"/>
  <c r="X71" i="1"/>
  <c r="Y71" i="1" s="1"/>
  <c r="W71" i="1"/>
  <c r="W132" i="1"/>
  <c r="X132" i="1"/>
  <c r="Y132" i="1" s="1"/>
  <c r="Z12" i="1"/>
  <c r="AB11" i="1"/>
  <c r="AF11" i="1" s="1"/>
  <c r="X153" i="1"/>
  <c r="Y153" i="1" s="1"/>
  <c r="W153" i="1"/>
  <c r="Z153" i="1" s="1"/>
  <c r="AB153" i="1"/>
  <c r="AF153" i="1" s="1"/>
  <c r="X87" i="1"/>
  <c r="Y87" i="1" s="1"/>
  <c r="W87" i="1"/>
  <c r="AB87" i="1"/>
  <c r="AF87" i="1" s="1"/>
  <c r="W152" i="1"/>
  <c r="Z152" i="1" s="1"/>
  <c r="AB152" i="1"/>
  <c r="AF152" i="1" s="1"/>
  <c r="X152" i="1"/>
  <c r="Y152" i="1" s="1"/>
  <c r="W66" i="1"/>
  <c r="X66" i="1"/>
  <c r="Y66" i="1" s="1"/>
  <c r="AB48" i="1"/>
  <c r="AF48" i="1" s="1"/>
  <c r="W48" i="1"/>
  <c r="Z48" i="1" s="1"/>
  <c r="X48" i="1"/>
  <c r="Y48" i="1" s="1"/>
  <c r="W105" i="1"/>
  <c r="Z105" i="1" s="1"/>
  <c r="AB105" i="1"/>
  <c r="AF105" i="1" s="1"/>
  <c r="X105" i="1"/>
  <c r="Y105" i="1" s="1"/>
  <c r="W44" i="1"/>
  <c r="X44" i="1"/>
  <c r="Y44" i="1" s="1"/>
  <c r="AH9" i="1"/>
  <c r="AJ158" i="1"/>
  <c r="AH158" i="1"/>
  <c r="AB95" i="1"/>
  <c r="AF95" i="1" s="1"/>
  <c r="AH123" i="1"/>
  <c r="AJ123" i="1"/>
  <c r="X135" i="1"/>
  <c r="Y135" i="1" s="1"/>
  <c r="W135" i="1"/>
  <c r="X37" i="1"/>
  <c r="Y37" i="1" s="1"/>
  <c r="W37" i="1"/>
  <c r="Z37" i="1" s="1"/>
  <c r="AB37" i="1"/>
  <c r="AF37" i="1" s="1"/>
  <c r="AJ90" i="1"/>
  <c r="AH90" i="1"/>
  <c r="AJ156" i="1"/>
  <c r="AH156" i="1"/>
  <c r="X72" i="1"/>
  <c r="Y72" i="1" s="1"/>
  <c r="W72" i="1"/>
  <c r="AB72" i="1"/>
  <c r="AF72" i="1" s="1"/>
  <c r="X31" i="1"/>
  <c r="Y31" i="1" s="1"/>
  <c r="W31" i="1"/>
  <c r="Z31" i="1" s="1"/>
  <c r="W46" i="1"/>
  <c r="Z46" i="1" s="1"/>
  <c r="X46" i="1"/>
  <c r="Y46" i="1" s="1"/>
  <c r="X89" i="1"/>
  <c r="Y89" i="1" s="1"/>
  <c r="W89" i="1"/>
  <c r="Z89" i="1" s="1"/>
  <c r="AB89" i="1"/>
  <c r="AF89" i="1" s="1"/>
  <c r="AJ27" i="1"/>
  <c r="AH27" i="1"/>
  <c r="AB8" i="1"/>
  <c r="AF8" i="1" s="1"/>
  <c r="X8" i="1"/>
  <c r="Y8" i="1" s="1"/>
  <c r="W8" i="1"/>
  <c r="AB49" i="1"/>
  <c r="AF49" i="1" s="1"/>
  <c r="AH49" i="1" s="1"/>
  <c r="AJ49" i="1" s="1"/>
  <c r="X126" i="1"/>
  <c r="Y126" i="1" s="1"/>
  <c r="W126" i="1"/>
  <c r="AB126" i="1"/>
  <c r="AF126" i="1" s="1"/>
  <c r="AH86" i="1"/>
  <c r="AJ86" i="1" s="1"/>
  <c r="X99" i="1"/>
  <c r="Y99" i="1" s="1"/>
  <c r="W99" i="1"/>
  <c r="Z120" i="1"/>
  <c r="W163" i="1"/>
  <c r="AB163" i="1"/>
  <c r="AF163" i="1" s="1"/>
  <c r="X163" i="1"/>
  <c r="Y163" i="1" s="1"/>
  <c r="W121" i="1"/>
  <c r="X121" i="1"/>
  <c r="Y121" i="1" s="1"/>
  <c r="Y137" i="1"/>
  <c r="Z137" i="1" s="1"/>
  <c r="AB137" i="1"/>
  <c r="AF137" i="1" s="1"/>
  <c r="X141" i="1"/>
  <c r="Y141" i="1" s="1"/>
  <c r="W141" i="1"/>
  <c r="Z141" i="1" s="1"/>
  <c r="AB141" i="1"/>
  <c r="AF141" i="1" s="1"/>
  <c r="W136" i="1"/>
  <c r="X136" i="1"/>
  <c r="Y136" i="1" s="1"/>
  <c r="Z146" i="1"/>
  <c r="AB68" i="1"/>
  <c r="AF68" i="1" s="1"/>
  <c r="X68" i="1"/>
  <c r="Y68" i="1" s="1"/>
  <c r="W68" i="1"/>
  <c r="Z68" i="1" s="1"/>
  <c r="AB122" i="1"/>
  <c r="AF122" i="1" s="1"/>
  <c r="AH122" i="1" s="1"/>
  <c r="AJ122" i="1" s="1"/>
  <c r="AB50" i="1"/>
  <c r="AF50" i="1" s="1"/>
  <c r="X50" i="1"/>
  <c r="Y50" i="1" s="1"/>
  <c r="W50" i="1"/>
  <c r="Z50" i="1" s="1"/>
  <c r="AB32" i="1"/>
  <c r="AF32" i="1" s="1"/>
  <c r="W32" i="1"/>
  <c r="Z32" i="1" s="1"/>
  <c r="X32" i="1"/>
  <c r="Y32" i="1" s="1"/>
  <c r="W14" i="1"/>
  <c r="Z14" i="1" s="1"/>
  <c r="X14" i="1"/>
  <c r="Y14" i="1" s="1"/>
  <c r="W23" i="1"/>
  <c r="AB23" i="1"/>
  <c r="AF23" i="1" s="1"/>
  <c r="X23" i="1"/>
  <c r="Y23" i="1" s="1"/>
  <c r="X6" i="1"/>
  <c r="Y6" i="1" s="1"/>
  <c r="W6" i="1"/>
  <c r="AB64" i="1"/>
  <c r="AF64" i="1" s="1"/>
  <c r="AJ64" i="1" s="1"/>
  <c r="AB15" i="1"/>
  <c r="AF15" i="1" s="1"/>
  <c r="X15" i="1"/>
  <c r="Y15" i="1" s="1"/>
  <c r="W15" i="1"/>
  <c r="Z15" i="1" s="1"/>
  <c r="AB92" i="1"/>
  <c r="AF92" i="1" s="1"/>
  <c r="AH92" i="1" s="1"/>
  <c r="AJ92" i="1" s="1"/>
  <c r="Y115" i="1"/>
  <c r="Z115" i="1" s="1"/>
  <c r="AB115" i="1"/>
  <c r="AF115" i="1" s="1"/>
  <c r="AB109" i="1"/>
  <c r="AF109" i="1" s="1"/>
  <c r="W109" i="1"/>
  <c r="Z109" i="1" s="1"/>
  <c r="X109" i="1"/>
  <c r="Y109" i="1" s="1"/>
  <c r="AH138" i="1"/>
  <c r="AJ138" i="1" s="1"/>
  <c r="X125" i="1"/>
  <c r="Y125" i="1" s="1"/>
  <c r="W125" i="1"/>
  <c r="AB160" i="1"/>
  <c r="AF160" i="1" s="1"/>
  <c r="X160" i="1"/>
  <c r="Y160" i="1" s="1"/>
  <c r="W160" i="1"/>
  <c r="X157" i="1"/>
  <c r="Y157" i="1" s="1"/>
  <c r="W157" i="1"/>
  <c r="Z157" i="1" s="1"/>
  <c r="AB157" i="1"/>
  <c r="AF157" i="1" s="1"/>
  <c r="AB38" i="1"/>
  <c r="AF38" i="1" s="1"/>
  <c r="X38" i="1"/>
  <c r="Y38" i="1" s="1"/>
  <c r="W38" i="1"/>
  <c r="Z38" i="1" s="1"/>
  <c r="X51" i="1"/>
  <c r="Y51" i="1" s="1"/>
  <c r="W51" i="1"/>
  <c r="AB98" i="1"/>
  <c r="AF98" i="1" s="1"/>
  <c r="X98" i="1"/>
  <c r="Y98" i="1" s="1"/>
  <c r="W98" i="1"/>
  <c r="Z98" i="1" s="1"/>
  <c r="AH64" i="1"/>
  <c r="AB144" i="1"/>
  <c r="AF144" i="1" s="1"/>
  <c r="X144" i="1"/>
  <c r="Y144" i="1" s="1"/>
  <c r="W144" i="1"/>
  <c r="X161" i="1"/>
  <c r="Y161" i="1" s="1"/>
  <c r="W161" i="1"/>
  <c r="AB161" i="1"/>
  <c r="AF161" i="1" s="1"/>
  <c r="X119" i="1"/>
  <c r="Y119" i="1" s="1"/>
  <c r="W119" i="1"/>
  <c r="Z119" i="1" s="1"/>
  <c r="AB119" i="1"/>
  <c r="AF119" i="1" s="1"/>
  <c r="X142" i="1"/>
  <c r="Y142" i="1" s="1"/>
  <c r="W142" i="1"/>
  <c r="W134" i="1"/>
  <c r="Z134" i="1" s="1"/>
  <c r="X134" i="1"/>
  <c r="Y134" i="1" s="1"/>
  <c r="W69" i="1"/>
  <c r="Z69" i="1" s="1"/>
  <c r="X69" i="1"/>
  <c r="Y69" i="1" s="1"/>
  <c r="Z114" i="1"/>
  <c r="X47" i="1"/>
  <c r="Y47" i="1" s="1"/>
  <c r="W47" i="1"/>
  <c r="Z47" i="1" s="1"/>
  <c r="AB129" i="1"/>
  <c r="AF129" i="1" s="1"/>
  <c r="X129" i="1"/>
  <c r="Y129" i="1" s="1"/>
  <c r="W129" i="1"/>
  <c r="X81" i="1"/>
  <c r="Y81" i="1" s="1"/>
  <c r="W81" i="1"/>
  <c r="Z81" i="1" s="1"/>
  <c r="AB81" i="1"/>
  <c r="AF81" i="1" s="1"/>
  <c r="AB13" i="1"/>
  <c r="AF13" i="1" s="1"/>
  <c r="X13" i="1"/>
  <c r="Y13" i="1" s="1"/>
  <c r="W13" i="1"/>
  <c r="Z13" i="1" s="1"/>
  <c r="AB7" i="1"/>
  <c r="AF7" i="1" s="1"/>
  <c r="W7" i="1"/>
  <c r="Z7" i="1" s="1"/>
  <c r="X7" i="1"/>
  <c r="Y7" i="1" s="1"/>
  <c r="AB17" i="1"/>
  <c r="AF17" i="1" s="1"/>
  <c r="X17" i="1"/>
  <c r="Y17" i="1" s="1"/>
  <c r="W17" i="1"/>
  <c r="Z17" i="1" s="1"/>
  <c r="X101" i="1"/>
  <c r="Y101" i="1" s="1"/>
  <c r="W101" i="1"/>
  <c r="Z101" i="1" s="1"/>
  <c r="AB101" i="1"/>
  <c r="AF101" i="1" s="1"/>
  <c r="X102" i="1"/>
  <c r="Y102" i="1" s="1"/>
  <c r="W102" i="1"/>
  <c r="Y113" i="1"/>
  <c r="Z113" i="1" s="1"/>
  <c r="AB113" i="1"/>
  <c r="AF113" i="1" s="1"/>
  <c r="X117" i="1"/>
  <c r="Y117" i="1" s="1"/>
  <c r="W117" i="1"/>
  <c r="X124" i="1"/>
  <c r="Y124" i="1" s="1"/>
  <c r="W124" i="1"/>
  <c r="Z124" i="1" s="1"/>
  <c r="AB124" i="1"/>
  <c r="AF124" i="1" s="1"/>
  <c r="X93" i="1"/>
  <c r="Y93" i="1" s="1"/>
  <c r="W93" i="1"/>
  <c r="X67" i="1"/>
  <c r="Y67" i="1" s="1"/>
  <c r="W67" i="1"/>
  <c r="AH147" i="1"/>
  <c r="AJ147" i="1" s="1"/>
  <c r="AB30" i="1"/>
  <c r="AF30" i="1" s="1"/>
  <c r="X30" i="1"/>
  <c r="Y30" i="1" s="1"/>
  <c r="W30" i="1"/>
  <c r="Z30" i="1" s="1"/>
  <c r="X130" i="1"/>
  <c r="Y130" i="1" s="1"/>
  <c r="W130" i="1"/>
  <c r="AB82" i="1"/>
  <c r="AF82" i="1" s="1"/>
  <c r="X82" i="1"/>
  <c r="Y82" i="1" s="1"/>
  <c r="W82" i="1"/>
  <c r="Z82" i="1" s="1"/>
  <c r="AB9" i="1"/>
  <c r="AF9" i="1" s="1"/>
  <c r="AJ9" i="1" s="1"/>
  <c r="X16" i="1"/>
  <c r="Y16" i="1" s="1"/>
  <c r="W16" i="1"/>
  <c r="Z16" i="1" s="1"/>
  <c r="X18" i="1"/>
  <c r="Y18" i="1" s="1"/>
  <c r="AB18" i="1"/>
  <c r="AF18" i="1" s="1"/>
  <c r="W18" i="1"/>
  <c r="Y139" i="1"/>
  <c r="Z139" i="1" s="1"/>
  <c r="AB139" i="1"/>
  <c r="AF139" i="1" s="1"/>
  <c r="X155" i="1"/>
  <c r="Y155" i="1" s="1"/>
  <c r="W155" i="1"/>
  <c r="Z155" i="1" s="1"/>
  <c r="AB155" i="1"/>
  <c r="AF155" i="1" s="1"/>
  <c r="X103" i="1"/>
  <c r="Y103" i="1" s="1"/>
  <c r="W103" i="1"/>
  <c r="AB96" i="1"/>
  <c r="AF96" i="1" s="1"/>
  <c r="X96" i="1"/>
  <c r="Y96" i="1" s="1"/>
  <c r="W96" i="1"/>
  <c r="V118" i="1"/>
  <c r="X108" i="1"/>
  <c r="Y108" i="1" s="1"/>
  <c r="W108" i="1"/>
  <c r="Z108" i="1" s="1"/>
  <c r="AB94" i="1"/>
  <c r="AF94" i="1" s="1"/>
  <c r="W94" i="1"/>
  <c r="Z94" i="1" s="1"/>
  <c r="X94" i="1"/>
  <c r="Y94" i="1" s="1"/>
  <c r="W97" i="1"/>
  <c r="AB97" i="1"/>
  <c r="AF97" i="1" s="1"/>
  <c r="X97" i="1"/>
  <c r="Y97" i="1" s="1"/>
  <c r="Z162" i="1"/>
  <c r="AB114" i="1"/>
  <c r="AF114" i="1" s="1"/>
  <c r="X22" i="1"/>
  <c r="Y22" i="1" s="1"/>
  <c r="W22" i="1"/>
  <c r="AJ140" i="1"/>
  <c r="X10" i="1"/>
  <c r="Y10" i="1" s="1"/>
  <c r="W10" i="1"/>
  <c r="AB10" i="1"/>
  <c r="AF10" i="1" s="1"/>
  <c r="Z116" i="1"/>
  <c r="X128" i="1"/>
  <c r="Y128" i="1" s="1"/>
  <c r="W128" i="1"/>
  <c r="X80" i="1"/>
  <c r="Y80" i="1" s="1"/>
  <c r="W80" i="1"/>
  <c r="AB131" i="1"/>
  <c r="AF131" i="1" s="1"/>
  <c r="X131" i="1"/>
  <c r="Y131" i="1" s="1"/>
  <c r="W131" i="1"/>
  <c r="Z131" i="1" s="1"/>
  <c r="AB84" i="1"/>
  <c r="AF84" i="1" s="1"/>
  <c r="W84" i="1"/>
  <c r="Z84" i="1" s="1"/>
  <c r="X84" i="1"/>
  <c r="Y84" i="1" s="1"/>
  <c r="AB43" i="1"/>
  <c r="AF43" i="1" s="1"/>
  <c r="Z11" i="1"/>
  <c r="X19" i="1"/>
  <c r="Y19" i="1" s="1"/>
  <c r="W19" i="1"/>
  <c r="AH113" i="1" l="1"/>
  <c r="AJ113" i="1" s="1"/>
  <c r="AK113" i="1" s="1"/>
  <c r="AJ137" i="1"/>
  <c r="AH137" i="1"/>
  <c r="AH115" i="1"/>
  <c r="AJ115" i="1" s="1"/>
  <c r="AH139" i="1"/>
  <c r="AJ139" i="1" s="1"/>
  <c r="AJ162" i="1"/>
  <c r="AH162" i="1"/>
  <c r="AH32" i="1"/>
  <c r="AJ32" i="1" s="1"/>
  <c r="AH31" i="1"/>
  <c r="AH48" i="1"/>
  <c r="AJ48" i="1" s="1"/>
  <c r="AH106" i="1"/>
  <c r="AJ106" i="1" s="1"/>
  <c r="AH159" i="1"/>
  <c r="AH11" i="1"/>
  <c r="AJ11" i="1" s="1"/>
  <c r="Z80" i="1"/>
  <c r="Z10" i="1"/>
  <c r="Z102" i="1"/>
  <c r="Z142" i="1"/>
  <c r="Z161" i="1"/>
  <c r="AB125" i="1"/>
  <c r="AF125" i="1" s="1"/>
  <c r="AH146" i="1"/>
  <c r="AJ146" i="1" s="1"/>
  <c r="AK146" i="1" s="1"/>
  <c r="Z126" i="1"/>
  <c r="AB44" i="1"/>
  <c r="AF44" i="1" s="1"/>
  <c r="AH152" i="1"/>
  <c r="AJ152" i="1" s="1"/>
  <c r="AJ12" i="1"/>
  <c r="AH12" i="1"/>
  <c r="AB133" i="1"/>
  <c r="AF133" i="1" s="1"/>
  <c r="AB21" i="1"/>
  <c r="AF21" i="1" s="1"/>
  <c r="AH82" i="1"/>
  <c r="AJ82" i="1"/>
  <c r="AH88" i="1"/>
  <c r="AJ88" i="1" s="1"/>
  <c r="AH20" i="1"/>
  <c r="AJ20" i="1"/>
  <c r="AH70" i="1"/>
  <c r="AJ70" i="1" s="1"/>
  <c r="AB80" i="1"/>
  <c r="AF80" i="1" s="1"/>
  <c r="Z97" i="1"/>
  <c r="Z96" i="1"/>
  <c r="AB16" i="1"/>
  <c r="AF16" i="1" s="1"/>
  <c r="AB130" i="1"/>
  <c r="AF130" i="1" s="1"/>
  <c r="AB67" i="1"/>
  <c r="AF67" i="1" s="1"/>
  <c r="AB102" i="1"/>
  <c r="AF102" i="1" s="1"/>
  <c r="AB69" i="1"/>
  <c r="AF69" i="1" s="1"/>
  <c r="AB142" i="1"/>
  <c r="AF142" i="1" s="1"/>
  <c r="Z144" i="1"/>
  <c r="AB51" i="1"/>
  <c r="AF51" i="1" s="1"/>
  <c r="Z23" i="1"/>
  <c r="Z136" i="1"/>
  <c r="AB121" i="1"/>
  <c r="AF121" i="1" s="1"/>
  <c r="Z99" i="1"/>
  <c r="Z72" i="1"/>
  <c r="Z44" i="1"/>
  <c r="Z66" i="1"/>
  <c r="Z87" i="1"/>
  <c r="AB132" i="1"/>
  <c r="AF132" i="1" s="1"/>
  <c r="Z107" i="1"/>
  <c r="Z143" i="1"/>
  <c r="Z45" i="1"/>
  <c r="Z145" i="1"/>
  <c r="AH155" i="1"/>
  <c r="AJ155" i="1" s="1"/>
  <c r="AH157" i="1"/>
  <c r="AJ157" i="1" s="1"/>
  <c r="AH15" i="1"/>
  <c r="AJ15" i="1" s="1"/>
  <c r="AK15" i="1" s="1"/>
  <c r="AJ37" i="1"/>
  <c r="AH37" i="1"/>
  <c r="AH84" i="1"/>
  <c r="AJ84" i="1" s="1"/>
  <c r="AB128" i="1"/>
  <c r="AF128" i="1" s="1"/>
  <c r="Z22" i="1"/>
  <c r="Z130" i="1"/>
  <c r="Z67" i="1"/>
  <c r="AB117" i="1"/>
  <c r="AF117" i="1" s="1"/>
  <c r="AH7" i="1"/>
  <c r="AJ7" i="1" s="1"/>
  <c r="Z129" i="1"/>
  <c r="Z51" i="1"/>
  <c r="Z160" i="1"/>
  <c r="AB14" i="1"/>
  <c r="AF14" i="1" s="1"/>
  <c r="AB136" i="1"/>
  <c r="AF136" i="1" s="1"/>
  <c r="Z121" i="1"/>
  <c r="AB99" i="1"/>
  <c r="AF99" i="1" s="1"/>
  <c r="Z8" i="1"/>
  <c r="AB46" i="1"/>
  <c r="AF46" i="1" s="1"/>
  <c r="AB135" i="1"/>
  <c r="AF135" i="1" s="1"/>
  <c r="AB66" i="1"/>
  <c r="AF66" i="1" s="1"/>
  <c r="Z132" i="1"/>
  <c r="AB100" i="1"/>
  <c r="AF100" i="1" s="1"/>
  <c r="AB83" i="1"/>
  <c r="AF83" i="1" s="1"/>
  <c r="AB85" i="1"/>
  <c r="AF85" i="1" s="1"/>
  <c r="AH17" i="1"/>
  <c r="AJ17" i="1" s="1"/>
  <c r="AH120" i="1"/>
  <c r="AJ120" i="1" s="1"/>
  <c r="AB118" i="1"/>
  <c r="AF118" i="1" s="1"/>
  <c r="X118" i="1"/>
  <c r="Y118" i="1" s="1"/>
  <c r="W118" i="1"/>
  <c r="AH16" i="1"/>
  <c r="AJ16" i="1" s="1"/>
  <c r="AH124" i="1"/>
  <c r="AJ124" i="1" s="1"/>
  <c r="AK122" i="1" s="1"/>
  <c r="AH81" i="1"/>
  <c r="AJ81" i="1" s="1"/>
  <c r="AJ114" i="1"/>
  <c r="AH114" i="1"/>
  <c r="AH50" i="1"/>
  <c r="AJ50" i="1"/>
  <c r="AH89" i="1"/>
  <c r="AJ89" i="1" s="1"/>
  <c r="Z128" i="1"/>
  <c r="AB22" i="1"/>
  <c r="AF22" i="1" s="1"/>
  <c r="AJ94" i="1"/>
  <c r="AH94" i="1"/>
  <c r="AH43" i="1"/>
  <c r="AJ43" i="1" s="1"/>
  <c r="Z117" i="1"/>
  <c r="AH69" i="1"/>
  <c r="AJ69" i="1" s="1"/>
  <c r="AH109" i="1"/>
  <c r="AJ109" i="1"/>
  <c r="Z135" i="1"/>
  <c r="Z71" i="1"/>
  <c r="AH154" i="1"/>
  <c r="AJ154" i="1"/>
  <c r="AH95" i="1"/>
  <c r="AJ95" i="1" s="1"/>
  <c r="Z83" i="1"/>
  <c r="Z104" i="1"/>
  <c r="Z85" i="1"/>
  <c r="AH98" i="1"/>
  <c r="AJ98" i="1"/>
  <c r="AB19" i="1"/>
  <c r="AF19" i="1" s="1"/>
  <c r="AH131" i="1"/>
  <c r="AJ131" i="1" s="1"/>
  <c r="AB103" i="1"/>
  <c r="AF103" i="1" s="1"/>
  <c r="AH30" i="1"/>
  <c r="AJ30" i="1" s="1"/>
  <c r="AK30" i="1" s="1"/>
  <c r="AB93" i="1"/>
  <c r="AF93" i="1" s="1"/>
  <c r="AH101" i="1"/>
  <c r="AJ101" i="1"/>
  <c r="AH13" i="1"/>
  <c r="AJ13" i="1" s="1"/>
  <c r="AH119" i="1"/>
  <c r="AJ119" i="1" s="1"/>
  <c r="AH38" i="1"/>
  <c r="AJ38" i="1" s="1"/>
  <c r="Z6" i="1"/>
  <c r="AJ14" i="1"/>
  <c r="AH14" i="1"/>
  <c r="AH68" i="1"/>
  <c r="AJ68" i="1"/>
  <c r="AJ141" i="1"/>
  <c r="AH141" i="1"/>
  <c r="AJ105" i="1"/>
  <c r="AH105" i="1"/>
  <c r="AH153" i="1"/>
  <c r="AJ153" i="1" s="1"/>
  <c r="AJ100" i="1"/>
  <c r="AH100" i="1"/>
  <c r="AB29" i="1"/>
  <c r="AF29" i="1" s="1"/>
  <c r="AH127" i="1"/>
  <c r="AJ127" i="1"/>
  <c r="AB91" i="1"/>
  <c r="AF91" i="1" s="1"/>
  <c r="Z19" i="1"/>
  <c r="AH116" i="1"/>
  <c r="AJ116" i="1" s="1"/>
  <c r="AB108" i="1"/>
  <c r="AF108" i="1" s="1"/>
  <c r="AH108" i="1" s="1"/>
  <c r="Z103" i="1"/>
  <c r="Z18" i="1"/>
  <c r="Z93" i="1"/>
  <c r="AB47" i="1"/>
  <c r="AF47" i="1" s="1"/>
  <c r="AH47" i="1" s="1"/>
  <c r="AB134" i="1"/>
  <c r="AF134" i="1" s="1"/>
  <c r="Z125" i="1"/>
  <c r="AB6" i="1"/>
  <c r="AF6" i="1" s="1"/>
  <c r="Z163" i="1"/>
  <c r="AB31" i="1"/>
  <c r="AF31" i="1" s="1"/>
  <c r="AJ31" i="1" s="1"/>
  <c r="AB71" i="1"/>
  <c r="AF71" i="1" s="1"/>
  <c r="AB65" i="1"/>
  <c r="AF65" i="1" s="1"/>
  <c r="Z29" i="1"/>
  <c r="AB159" i="1"/>
  <c r="AF159" i="1" s="1"/>
  <c r="AJ159" i="1" s="1"/>
  <c r="Z133" i="1"/>
  <c r="AB104" i="1"/>
  <c r="AF104" i="1" s="1"/>
  <c r="Z91" i="1"/>
  <c r="AK152" i="1" l="1"/>
  <c r="AJ134" i="1"/>
  <c r="AJ21" i="1"/>
  <c r="AK155" i="1"/>
  <c r="AH91" i="1"/>
  <c r="AJ91" i="1" s="1"/>
  <c r="AK89" i="1" s="1"/>
  <c r="AJ163" i="1"/>
  <c r="AH163" i="1"/>
  <c r="AJ85" i="1"/>
  <c r="AH85" i="1"/>
  <c r="AH135" i="1"/>
  <c r="AJ135" i="1" s="1"/>
  <c r="AH121" i="1"/>
  <c r="AJ121" i="1" s="1"/>
  <c r="AK119" i="1" s="1"/>
  <c r="AK37" i="1"/>
  <c r="AJ47" i="1"/>
  <c r="AJ87" i="1"/>
  <c r="AK86" i="1" s="1"/>
  <c r="AH87" i="1"/>
  <c r="AH96" i="1"/>
  <c r="AJ96" i="1"/>
  <c r="AK95" i="1" s="1"/>
  <c r="AK12" i="1"/>
  <c r="AH161" i="1"/>
  <c r="AJ161" i="1" s="1"/>
  <c r="AK161" i="1" s="1"/>
  <c r="AH21" i="1"/>
  <c r="AH104" i="1"/>
  <c r="AJ104" i="1" s="1"/>
  <c r="AK104" i="1" s="1"/>
  <c r="AK137" i="1"/>
  <c r="AJ66" i="1"/>
  <c r="AH66" i="1"/>
  <c r="AH133" i="1"/>
  <c r="AJ133" i="1" s="1"/>
  <c r="AH83" i="1"/>
  <c r="AJ83" i="1" s="1"/>
  <c r="AK83" i="1" s="1"/>
  <c r="AH128" i="1"/>
  <c r="AJ128" i="1" s="1"/>
  <c r="AK128" i="1" s="1"/>
  <c r="AJ130" i="1"/>
  <c r="AH130" i="1"/>
  <c r="AJ108" i="1"/>
  <c r="AJ44" i="1"/>
  <c r="AK43" i="1" s="1"/>
  <c r="AH44" i="1"/>
  <c r="AJ102" i="1"/>
  <c r="AH102" i="1"/>
  <c r="AH125" i="1"/>
  <c r="AJ125" i="1"/>
  <c r="AH19" i="1"/>
  <c r="AJ19" i="1" s="1"/>
  <c r="AJ160" i="1"/>
  <c r="AK158" i="1" s="1"/>
  <c r="AH160" i="1"/>
  <c r="AH22" i="1"/>
  <c r="AJ22" i="1" s="1"/>
  <c r="AH145" i="1"/>
  <c r="AJ145" i="1" s="1"/>
  <c r="AH72" i="1"/>
  <c r="AJ72" i="1" s="1"/>
  <c r="AJ10" i="1"/>
  <c r="AK9" i="1" s="1"/>
  <c r="AH10" i="1"/>
  <c r="AH65" i="1"/>
  <c r="AJ65" i="1" s="1"/>
  <c r="AK64" i="1" s="1"/>
  <c r="AH67" i="1"/>
  <c r="AJ67" i="1" s="1"/>
  <c r="AK67" i="1" s="1"/>
  <c r="AJ29" i="1"/>
  <c r="AK27" i="1" s="1"/>
  <c r="AH29" i="1"/>
  <c r="AH51" i="1"/>
  <c r="AJ51" i="1" s="1"/>
  <c r="AK49" i="1" s="1"/>
  <c r="AH45" i="1"/>
  <c r="AJ45" i="1"/>
  <c r="AH99" i="1"/>
  <c r="AJ99" i="1"/>
  <c r="AJ126" i="1"/>
  <c r="AH126" i="1"/>
  <c r="AH80" i="1"/>
  <c r="AJ80" i="1"/>
  <c r="AK80" i="1" s="1"/>
  <c r="AH144" i="1"/>
  <c r="AJ144" i="1" s="1"/>
  <c r="AH93" i="1"/>
  <c r="AJ93" i="1" s="1"/>
  <c r="AK92" i="1" s="1"/>
  <c r="AH143" i="1"/>
  <c r="AJ143" i="1" s="1"/>
  <c r="AH134" i="1"/>
  <c r="AH97" i="1"/>
  <c r="AJ97" i="1" s="1"/>
  <c r="AH142" i="1"/>
  <c r="AJ142" i="1" s="1"/>
  <c r="AK140" i="1" s="1"/>
  <c r="AJ18" i="1"/>
  <c r="AH18" i="1"/>
  <c r="AH46" i="1"/>
  <c r="AJ46" i="1" s="1"/>
  <c r="AK46" i="1" s="1"/>
  <c r="AJ6" i="1"/>
  <c r="AH6" i="1"/>
  <c r="AK98" i="1"/>
  <c r="AH8" i="1"/>
  <c r="AJ8" i="1" s="1"/>
  <c r="AJ107" i="1"/>
  <c r="AK107" i="1" s="1"/>
  <c r="AH107" i="1"/>
  <c r="AH136" i="1"/>
  <c r="AJ136" i="1"/>
  <c r="AH132" i="1"/>
  <c r="AJ132" i="1" s="1"/>
  <c r="AH117" i="1"/>
  <c r="AJ117" i="1" s="1"/>
  <c r="AJ129" i="1"/>
  <c r="AH129" i="1"/>
  <c r="AH103" i="1"/>
  <c r="AJ103" i="1" s="1"/>
  <c r="AK101" i="1" s="1"/>
  <c r="AH71" i="1"/>
  <c r="AJ71" i="1"/>
  <c r="AK70" i="1" s="1"/>
  <c r="Z118" i="1"/>
  <c r="AH23" i="1"/>
  <c r="AJ23" i="1"/>
  <c r="AK143" i="1" l="1"/>
  <c r="AK131" i="1"/>
  <c r="AK134" i="1"/>
  <c r="AH118" i="1"/>
  <c r="AJ118" i="1" s="1"/>
  <c r="AK116" i="1" s="1"/>
  <c r="AK21" i="1"/>
  <c r="AK125" i="1"/>
  <c r="AK18" i="1"/>
  <c r="AK6" i="1"/>
</calcChain>
</file>

<file path=xl/sharedStrings.xml><?xml version="1.0" encoding="utf-8"?>
<sst xmlns="http://schemas.openxmlformats.org/spreadsheetml/2006/main" count="1150" uniqueCount="109">
  <si>
    <t>Aakriti</t>
  </si>
  <si>
    <t>Commodity</t>
  </si>
  <si>
    <t>Packaging</t>
  </si>
  <si>
    <t>Material Description</t>
  </si>
  <si>
    <t>Material Cost</t>
  </si>
  <si>
    <t>Process Efficiency</t>
  </si>
  <si>
    <t>Process Cost</t>
  </si>
  <si>
    <t>Transport</t>
  </si>
  <si>
    <t>Other Costs</t>
  </si>
  <si>
    <t>Total</t>
  </si>
  <si>
    <t>Sl.No.</t>
  </si>
  <si>
    <t>Date</t>
  </si>
  <si>
    <t>Supplier Name</t>
  </si>
  <si>
    <t>Material Nr.</t>
  </si>
  <si>
    <t>Part Type</t>
  </si>
  <si>
    <t>Flute Type</t>
  </si>
  <si>
    <t>Comments (if any)</t>
  </si>
  <si>
    <t>Ply Type</t>
  </si>
  <si>
    <t>Box Type</t>
  </si>
  <si>
    <t>Size Type</t>
  </si>
  <si>
    <t>Design Type</t>
  </si>
  <si>
    <t>Material Dimension (In mm)</t>
  </si>
  <si>
    <t>Paper Specification</t>
  </si>
  <si>
    <t>GSM</t>
  </si>
  <si>
    <t>Raw Material Price at Paper Mill (INR/kg)-A</t>
  </si>
  <si>
    <t>Landing Cost (Freight, Handling &amp; Other Costs) (INR/kg)-B</t>
  </si>
  <si>
    <t>GSM Price Considered (INR/kg)- A+B</t>
  </si>
  <si>
    <t>Sheet Size Used         (In Inch)</t>
  </si>
  <si>
    <t>Wt. of Sheet (kg)</t>
  </si>
  <si>
    <t xml:space="preserve"> Material Cost (INR)-C</t>
  </si>
  <si>
    <t>Wastage (%)</t>
  </si>
  <si>
    <t>Cost of Wastage (INR)-D</t>
  </si>
  <si>
    <t>Total Material Cost-C+D</t>
  </si>
  <si>
    <t>Conversion Charge (INR/kg)</t>
  </si>
  <si>
    <t>Conversion Cost (INR)</t>
  </si>
  <si>
    <t>Printing/DIE CUTTING (INR)</t>
  </si>
  <si>
    <t>Varnish (INR)</t>
  </si>
  <si>
    <t xml:space="preserve"> Packing Cost(INR)</t>
  </si>
  <si>
    <t>Total Process Cost (INR)</t>
  </si>
  <si>
    <t xml:space="preserve"> Freight Charges to EGLO (INR)</t>
  </si>
  <si>
    <t>Profit (10%)</t>
  </si>
  <si>
    <t>Step Discounts based on Orders (%)</t>
  </si>
  <si>
    <t>Price Quoted New</t>
  </si>
  <si>
    <t>Final Cost for Reference Only</t>
  </si>
  <si>
    <t>Master Box Universal - 3 Ply &lt; 300 mm</t>
  </si>
  <si>
    <t>B</t>
  </si>
  <si>
    <t>3 Ply</t>
  </si>
  <si>
    <t>KM</t>
  </si>
  <si>
    <t>&lt; 300 mm</t>
  </si>
  <si>
    <t>U</t>
  </si>
  <si>
    <t>Virgin Craft</t>
  </si>
  <si>
    <t>Semi Craft</t>
  </si>
  <si>
    <t>HSC Master Box Universal - 3 Ply &lt; 300 mm 640 GSM</t>
  </si>
  <si>
    <t>KM &amp; HSC</t>
  </si>
  <si>
    <t>HSC Master Box Universal - 5 Ply &lt; 300 mm 1050 GSM</t>
  </si>
  <si>
    <t>5 Ply</t>
  </si>
  <si>
    <t>Master Box Universal - 3 Ply &gt; 300 mm</t>
  </si>
  <si>
    <t>&gt; 300 mm</t>
  </si>
  <si>
    <t>HSC Master Box Universal - 3 Ply &gt; 300 mm 640 GSM</t>
  </si>
  <si>
    <t>HSC Master Box Universal - 5 Ply &gt; 300 mm 1050 GSM</t>
  </si>
  <si>
    <t>Master Box - 3 Ply - Universal Box &gt; 300 mm A-Flute</t>
  </si>
  <si>
    <t>A</t>
  </si>
  <si>
    <t>Not Applicable</t>
  </si>
  <si>
    <t>Master Box Universal - 5 Ply &lt; 300 mm</t>
  </si>
  <si>
    <t>Master Box Universal - 5 Ply &gt; 300 mm</t>
  </si>
  <si>
    <t>Brown Box - 5 Ply - Universal Style &gt; 300 mm A+B, Flute</t>
  </si>
  <si>
    <t>A+B</t>
  </si>
  <si>
    <t>Virgin Kraft</t>
  </si>
  <si>
    <t>Semi Kraft</t>
  </si>
  <si>
    <t>INLAY 2D- 2 Ply</t>
  </si>
  <si>
    <t>2 Ply</t>
  </si>
  <si>
    <t>KEL</t>
  </si>
  <si>
    <t>Inlay</t>
  </si>
  <si>
    <t>INLAY 2D - 2 Ply A-Flute</t>
  </si>
  <si>
    <t>INLAY 2D- 3 Ply</t>
  </si>
  <si>
    <t>HSC Master Box Universal - 3 Ply &lt; 300 mm</t>
  </si>
  <si>
    <t>KEL &amp; HSC</t>
  </si>
  <si>
    <t>INLAY 2D- 3 Ply - 420 GSM</t>
  </si>
  <si>
    <t>INLAY 2D- 5 Ply - 420 GSM</t>
  </si>
  <si>
    <t>INLAY 2D- 3 Ply - 460 GSM</t>
  </si>
  <si>
    <t>INLAY 2D- 5 Ply - 460 GSM</t>
  </si>
  <si>
    <t>INLAY 2D- 3 Ply - 640 GSM</t>
  </si>
  <si>
    <t>Inlay-2D 5 PLY - 640 GSM</t>
  </si>
  <si>
    <t>Inlay-2D 5 PLY</t>
  </si>
  <si>
    <t>Inlay-2D 3 PLY A Flute</t>
  </si>
  <si>
    <t>Inlay-2D 5 PLY A+B Flute</t>
  </si>
  <si>
    <t>Inlay Universal Box &lt; 300 mm 3 PLY</t>
  </si>
  <si>
    <t>Inlay Universal Box &gt; 300 mm 3 PLY</t>
  </si>
  <si>
    <t>Inlay Interlock Box 3 PLY</t>
  </si>
  <si>
    <t>I</t>
  </si>
  <si>
    <t>Brown Box Interlock 3 PLY</t>
  </si>
  <si>
    <t>KRTB</t>
  </si>
  <si>
    <t>Brown Box Universal &lt; 300 mm 3 PLY</t>
  </si>
  <si>
    <t>Brown Box Universal &lt; 300 mm 5 PLY</t>
  </si>
  <si>
    <t>Brown Box Universal &gt; 300 mm 3 PLY</t>
  </si>
  <si>
    <t>Brown Box Universal &gt; 300 mm 5 PLY</t>
  </si>
  <si>
    <t>HSC Interlock Box 3 PLY</t>
  </si>
  <si>
    <t>HSC Interlock Box 5 PLY</t>
  </si>
  <si>
    <t>Brown Box Interlock 3 PLY A Flute</t>
  </si>
  <si>
    <t>Brown Box Interlock 5 PLY</t>
  </si>
  <si>
    <t>Master Box Universal &lt; 300 mm 3 PLY (OVERLAP TYPE BOX)</t>
  </si>
  <si>
    <t>KM &amp; Overlap</t>
  </si>
  <si>
    <t>Master Box Universal &lt; 300 mm 5 PLY (OVERLAP TYPE BOX)</t>
  </si>
  <si>
    <t>Master Box Universal &gt; 300 mm 3 PLY (OVERLAP TYPE BOX)</t>
  </si>
  <si>
    <t>Master Box Universal &gt; 300 mm 5 PLY (OVERLAP TYPE BOX)</t>
  </si>
  <si>
    <t>KRTB &amp; HSC</t>
  </si>
  <si>
    <t>FULL</t>
  </si>
  <si>
    <t>HSC Interlock Box 3 PLY- B FLUTE 640 GSM</t>
  </si>
  <si>
    <t>HSC Interlock Box 5 PLY- B FLUTE 640 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</si>
</sst>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00_-;\-* #,##0.000_-;_-* &quot;-&quot;???_-;_-@_-"/>
    <numFmt numFmtId="165" formatCode="_-* #,##0_-;\-* #,##0_-;_-* &quot;-&quot;??_-;_-@_-"/>
    <numFmt numFmtId="166" formatCode="_-* #,##0_-;\-* #,##0_-;_-* &quot;-&quot;???_-;_-@_-"/>
    <numFmt numFmtId="167" formatCode="_-* #,##0.00_-;\-* #,##0.00_-;_-* &quot;-&quot;???_-;_-@_-"/>
    <numFmt numFmtId="168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/>
      <top/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93">
    <xf numFmtId="0" fontId="0" fillId="0" borderId="0" xfId="0"/>
    <xf numFmtId="164" fontId="0" fillId="0" borderId="0" xfId="0" applyNumberFormat="1" applyAlignment="1" applyProtection="1">
      <alignment horizontal="center" vertical="center" wrapText="1"/>
      <protection locked="0"/>
    </xf>
    <xf numFmtId="165" fontId="0" fillId="0" borderId="0" xfId="1" applyNumberFormat="1" applyFont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vertical="center" wrapText="1"/>
      <protection locked="0"/>
    </xf>
    <xf numFmtId="166" fontId="0" fillId="0" borderId="0" xfId="0" applyNumberFormat="1" applyAlignment="1" applyProtection="1">
      <alignment vertical="center" wrapText="1"/>
      <protection locked="0"/>
    </xf>
    <xf numFmtId="164" fontId="0" fillId="0" borderId="2" xfId="0" applyNumberFormat="1" applyBorder="1" applyAlignment="1" applyProtection="1">
      <alignment vertical="center" wrapText="1"/>
      <protection locked="0"/>
    </xf>
    <xf numFmtId="164" fontId="0" fillId="0" borderId="2" xfId="0" applyNumberFormat="1" applyBorder="1" applyAlignment="1" applyProtection="1">
      <alignment horizontal="center" vertical="center" wrapText="1"/>
      <protection locked="0"/>
    </xf>
    <xf numFmtId="164" fontId="0" fillId="5" borderId="2" xfId="0" applyNumberFormat="1" applyFill="1" applyBorder="1" applyAlignment="1" applyProtection="1">
      <alignment horizontal="center" vertical="center" wrapText="1"/>
      <protection locked="0"/>
    </xf>
    <xf numFmtId="164" fontId="0" fillId="6" borderId="3" xfId="0" applyNumberFormat="1" applyFill="1" applyBorder="1" applyAlignment="1" applyProtection="1">
      <alignment horizontal="center" vertical="center" wrapText="1"/>
      <protection locked="0"/>
    </xf>
    <xf numFmtId="164" fontId="0" fillId="6" borderId="2" xfId="0" applyNumberFormat="1" applyFill="1" applyBorder="1" applyAlignment="1" applyProtection="1">
      <alignment horizontal="center" vertical="center" wrapText="1"/>
      <protection locked="0"/>
    </xf>
    <xf numFmtId="164" fontId="0" fillId="6" borderId="4" xfId="0" applyNumberFormat="1" applyFill="1" applyBorder="1" applyAlignment="1" applyProtection="1">
      <alignment horizontal="center" vertical="center" wrapText="1"/>
      <protection locked="0"/>
    </xf>
    <xf numFmtId="164" fontId="0" fillId="7" borderId="5" xfId="0" applyNumberFormat="1" applyFill="1" applyBorder="1" applyAlignment="1" applyProtection="1">
      <alignment horizontal="center" vertical="center" wrapText="1"/>
      <protection locked="0"/>
    </xf>
    <xf numFmtId="164" fontId="0" fillId="7" borderId="6" xfId="0" applyNumberFormat="1" applyFill="1" applyBorder="1" applyAlignment="1" applyProtection="1">
      <alignment horizontal="center" vertical="center" wrapText="1"/>
      <protection locked="0"/>
    </xf>
    <xf numFmtId="164" fontId="0" fillId="7" borderId="7" xfId="0" applyNumberFormat="1" applyFill="1" applyBorder="1" applyAlignment="1" applyProtection="1">
      <alignment horizontal="center" vertical="center" wrapText="1"/>
      <protection locked="0"/>
    </xf>
    <xf numFmtId="164" fontId="0" fillId="8" borderId="5" xfId="0" applyNumberFormat="1" applyFill="1" applyBorder="1" applyAlignment="1" applyProtection="1">
      <alignment horizontal="center" vertical="center" wrapText="1"/>
      <protection locked="0"/>
    </xf>
    <xf numFmtId="164" fontId="0" fillId="8" borderId="6" xfId="0" applyNumberFormat="1" applyFill="1" applyBorder="1" applyAlignment="1" applyProtection="1">
      <alignment horizontal="center" vertical="center" wrapText="1"/>
      <protection locked="0"/>
    </xf>
    <xf numFmtId="164" fontId="0" fillId="8" borderId="6" xfId="0" applyNumberFormat="1" applyFill="1" applyBorder="1" applyAlignment="1" applyProtection="1">
      <alignment horizontal="center" vertical="center" wrapText="1"/>
      <protection locked="0"/>
    </xf>
    <xf numFmtId="164" fontId="0" fillId="6" borderId="6" xfId="0" applyNumberFormat="1" applyFill="1" applyBorder="1" applyAlignment="1" applyProtection="1">
      <alignment horizontal="center" wrapText="1"/>
      <protection locked="0"/>
    </xf>
    <xf numFmtId="10" fontId="0" fillId="9" borderId="6" xfId="0" applyNumberFormat="1" applyFill="1" applyBorder="1" applyAlignment="1" applyProtection="1">
      <alignment horizontal="center" vertical="center" wrapText="1"/>
      <protection locked="0"/>
    </xf>
    <xf numFmtId="164" fontId="0" fillId="10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9" xfId="0" applyNumberFormat="1" applyBorder="1" applyAlignment="1" applyProtection="1">
      <alignment horizontal="center" vertical="center" wrapText="1"/>
      <protection locked="0"/>
    </xf>
    <xf numFmtId="164" fontId="0" fillId="0" borderId="9" xfId="0" applyNumberFormat="1" applyBorder="1" applyAlignment="1" applyProtection="1">
      <alignment horizontal="center" wrapText="1"/>
      <protection locked="0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164" fontId="0" fillId="0" borderId="9" xfId="0" applyNumberFormat="1" applyBorder="1" applyAlignment="1" applyProtection="1">
      <alignment horizontal="center" vertical="center" wrapText="1"/>
      <protection locked="0"/>
    </xf>
    <xf numFmtId="164" fontId="0" fillId="0" borderId="10" xfId="0" applyNumberFormat="1" applyBorder="1" applyAlignment="1" applyProtection="1">
      <alignment horizontal="center" vertical="center" wrapText="1"/>
      <protection locked="0"/>
    </xf>
    <xf numFmtId="164" fontId="0" fillId="0" borderId="11" xfId="0" applyNumberFormat="1" applyBorder="1" applyAlignment="1" applyProtection="1">
      <alignment horizontal="center" vertical="center" wrapText="1"/>
      <protection locked="0"/>
    </xf>
    <xf numFmtId="164" fontId="0" fillId="0" borderId="12" xfId="0" applyNumberFormat="1" applyBorder="1" applyAlignment="1" applyProtection="1">
      <alignment horizontal="center" vertical="center" wrapText="1"/>
      <protection locked="0"/>
    </xf>
    <xf numFmtId="164" fontId="0" fillId="0" borderId="12" xfId="0" applyNumberFormat="1" applyBorder="1" applyAlignment="1" applyProtection="1">
      <alignment horizontal="center" vertical="center" wrapText="1"/>
      <protection locked="0"/>
    </xf>
    <xf numFmtId="10" fontId="0" fillId="0" borderId="10" xfId="0" applyNumberForma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41" fontId="0" fillId="0" borderId="9" xfId="0" applyNumberFormat="1" applyBorder="1" applyAlignment="1" applyProtection="1">
      <alignment horizontal="center" vertical="center" wrapText="1"/>
      <protection locked="0"/>
    </xf>
    <xf numFmtId="14" fontId="0" fillId="0" borderId="9" xfId="0" applyNumberFormat="1" applyBorder="1" applyAlignment="1" applyProtection="1">
      <alignment horizontal="center" vertical="center" wrapText="1"/>
      <protection locked="0"/>
    </xf>
    <xf numFmtId="41" fontId="5" fillId="0" borderId="9" xfId="0" applyNumberFormat="1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41" fontId="4" fillId="4" borderId="13" xfId="4" applyNumberFormat="1" applyBorder="1" applyAlignment="1" applyProtection="1">
      <alignment horizontal="center" vertical="center" wrapText="1"/>
      <protection locked="0"/>
    </xf>
    <xf numFmtId="41" fontId="4" fillId="4" borderId="1" xfId="4" applyNumberFormat="1" applyAlignment="1" applyProtection="1">
      <alignment horizontal="center" vertical="center" wrapText="1"/>
      <protection locked="0"/>
    </xf>
    <xf numFmtId="41" fontId="4" fillId="4" borderId="14" xfId="4" applyNumberFormat="1" applyBorder="1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center" vertical="center" wrapText="1"/>
      <protection hidden="1"/>
    </xf>
    <xf numFmtId="167" fontId="0" fillId="0" borderId="9" xfId="0" applyNumberFormat="1" applyBorder="1" applyAlignment="1" applyProtection="1">
      <alignment horizontal="center" vertical="center" wrapText="1"/>
      <protection hidden="1"/>
    </xf>
    <xf numFmtId="167" fontId="0" fillId="11" borderId="9" xfId="0" applyNumberFormat="1" applyFill="1" applyBorder="1" applyAlignment="1">
      <alignment horizontal="center" vertical="center" wrapText="1"/>
    </xf>
    <xf numFmtId="167" fontId="0" fillId="11" borderId="9" xfId="0" applyNumberFormat="1" applyFill="1" applyBorder="1" applyAlignment="1" applyProtection="1">
      <alignment horizontal="center" vertical="center" wrapText="1"/>
      <protection hidden="1"/>
    </xf>
    <xf numFmtId="168" fontId="0" fillId="0" borderId="9" xfId="0" applyNumberFormat="1" applyBorder="1" applyAlignment="1" applyProtection="1">
      <alignment horizontal="center" vertical="center" wrapText="1"/>
      <protection hidden="1"/>
    </xf>
    <xf numFmtId="167" fontId="0" fillId="0" borderId="9" xfId="0" applyNumberFormat="1" applyBorder="1" applyAlignment="1" applyProtection="1">
      <alignment vertical="center" wrapText="1"/>
      <protection hidden="1"/>
    </xf>
    <xf numFmtId="2" fontId="0" fillId="0" borderId="9" xfId="0" applyNumberFormat="1" applyBorder="1" applyAlignment="1" applyProtection="1">
      <alignment horizontal="center" vertical="center" wrapText="1"/>
      <protection hidden="1"/>
    </xf>
    <xf numFmtId="167" fontId="0" fillId="0" borderId="9" xfId="0" applyNumberFormat="1" applyBorder="1" applyAlignment="1">
      <alignment vertical="center" wrapText="1"/>
    </xf>
    <xf numFmtId="43" fontId="0" fillId="0" borderId="0" xfId="0" applyNumberFormat="1"/>
    <xf numFmtId="41" fontId="5" fillId="0" borderId="9" xfId="0" applyNumberFormat="1" applyFont="1" applyBorder="1" applyAlignment="1">
      <alignment horizontal="center" vertical="center" wrapText="1"/>
    </xf>
    <xf numFmtId="41" fontId="7" fillId="8" borderId="9" xfId="0" applyNumberFormat="1" applyFont="1" applyFill="1" applyBorder="1" applyAlignment="1" applyProtection="1">
      <alignment horizontal="center" vertical="center" wrapText="1"/>
      <protection locked="0"/>
    </xf>
    <xf numFmtId="14" fontId="7" fillId="8" borderId="9" xfId="0" applyNumberFormat="1" applyFont="1" applyFill="1" applyBorder="1" applyAlignment="1" applyProtection="1">
      <alignment horizontal="center" vertical="center" wrapText="1"/>
      <protection locked="0"/>
    </xf>
    <xf numFmtId="41" fontId="8" fillId="8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8" borderId="9" xfId="0" applyFont="1" applyFill="1" applyBorder="1" applyAlignment="1" applyProtection="1">
      <alignment horizontal="center" vertical="center" wrapText="1"/>
      <protection locked="0"/>
    </xf>
    <xf numFmtId="0" fontId="0" fillId="8" borderId="9" xfId="0" applyFill="1" applyBorder="1" applyAlignment="1">
      <alignment horizontal="center"/>
    </xf>
    <xf numFmtId="164" fontId="7" fillId="8" borderId="9" xfId="0" applyNumberFormat="1" applyFont="1" applyFill="1" applyBorder="1" applyAlignment="1" applyProtection="1">
      <alignment horizontal="center" vertical="center" wrapText="1"/>
      <protection hidden="1"/>
    </xf>
    <xf numFmtId="167" fontId="7" fillId="8" borderId="9" xfId="0" applyNumberFormat="1" applyFont="1" applyFill="1" applyBorder="1" applyAlignment="1" applyProtection="1">
      <alignment horizontal="center" vertical="center" wrapText="1"/>
      <protection hidden="1"/>
    </xf>
    <xf numFmtId="167" fontId="7" fillId="8" borderId="9" xfId="0" applyNumberFormat="1" applyFont="1" applyFill="1" applyBorder="1" applyAlignment="1">
      <alignment horizontal="center" vertical="center" wrapText="1"/>
    </xf>
    <xf numFmtId="167" fontId="0" fillId="8" borderId="9" xfId="0" applyNumberFormat="1" applyFill="1" applyBorder="1" applyAlignment="1" applyProtection="1">
      <alignment horizontal="center" vertical="center" wrapText="1"/>
      <protection hidden="1"/>
    </xf>
    <xf numFmtId="168" fontId="7" fillId="8" borderId="9" xfId="0" applyNumberFormat="1" applyFont="1" applyFill="1" applyBorder="1" applyAlignment="1" applyProtection="1">
      <alignment horizontal="center" vertical="center" wrapText="1"/>
      <protection hidden="1"/>
    </xf>
    <xf numFmtId="167" fontId="7" fillId="8" borderId="9" xfId="0" applyNumberFormat="1" applyFont="1" applyFill="1" applyBorder="1" applyAlignment="1" applyProtection="1">
      <alignment vertical="center" wrapText="1"/>
      <protection hidden="1"/>
    </xf>
    <xf numFmtId="2" fontId="7" fillId="8" borderId="9" xfId="0" applyNumberFormat="1" applyFont="1" applyFill="1" applyBorder="1" applyAlignment="1" applyProtection="1">
      <alignment horizontal="center" vertical="center" wrapText="1"/>
      <protection hidden="1"/>
    </xf>
    <xf numFmtId="167" fontId="7" fillId="8" borderId="9" xfId="0" applyNumberFormat="1" applyFont="1" applyFill="1" applyBorder="1" applyAlignment="1">
      <alignment vertical="center" wrapText="1"/>
    </xf>
    <xf numFmtId="43" fontId="7" fillId="8" borderId="0" xfId="0" applyNumberFormat="1" applyFont="1" applyFill="1"/>
    <xf numFmtId="0" fontId="7" fillId="8" borderId="0" xfId="0" applyFont="1" applyFill="1"/>
    <xf numFmtId="41" fontId="8" fillId="8" borderId="13" xfId="4" applyNumberFormat="1" applyFont="1" applyFill="1" applyBorder="1" applyAlignment="1" applyProtection="1">
      <alignment horizontal="center" vertical="center" wrapText="1"/>
      <protection locked="0"/>
    </xf>
    <xf numFmtId="41" fontId="8" fillId="8" borderId="1" xfId="4" applyNumberFormat="1" applyFont="1" applyFill="1" applyAlignment="1" applyProtection="1">
      <alignment horizontal="center" vertical="center" wrapText="1"/>
      <protection locked="0"/>
    </xf>
    <xf numFmtId="41" fontId="8" fillId="8" borderId="14" xfId="4" applyNumberFormat="1" applyFont="1" applyFill="1" applyBorder="1" applyAlignment="1" applyProtection="1">
      <alignment horizontal="center" vertical="center"/>
      <protection locked="0"/>
    </xf>
    <xf numFmtId="41" fontId="2" fillId="2" borderId="9" xfId="2" applyNumberFormat="1" applyBorder="1" applyAlignment="1" applyProtection="1">
      <alignment horizontal="center" vertical="center" wrapText="1"/>
      <protection locked="0"/>
    </xf>
    <xf numFmtId="41" fontId="2" fillId="2" borderId="7" xfId="2" applyNumberFormat="1" applyBorder="1" applyAlignment="1" applyProtection="1">
      <alignment vertical="center" wrapText="1"/>
      <protection locked="0"/>
    </xf>
    <xf numFmtId="164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1" fontId="4" fillId="4" borderId="15" xfId="4" applyNumberFormat="1" applyBorder="1" applyAlignment="1" applyProtection="1">
      <alignment horizontal="center" vertical="center" wrapText="1"/>
      <protection locked="0"/>
    </xf>
    <xf numFmtId="41" fontId="4" fillId="4" borderId="16" xfId="4" applyNumberFormat="1" applyBorder="1" applyAlignment="1" applyProtection="1">
      <alignment horizontal="center" vertical="center" wrapText="1"/>
      <protection locked="0"/>
    </xf>
    <xf numFmtId="41" fontId="3" fillId="3" borderId="17" xfId="3" applyNumberFormat="1" applyBorder="1" applyAlignment="1" applyProtection="1">
      <alignment horizontal="center" vertical="center"/>
      <protection locked="0"/>
    </xf>
    <xf numFmtId="167" fontId="0" fillId="12" borderId="9" xfId="0" applyNumberFormat="1" applyFill="1" applyBorder="1" applyAlignment="1" applyProtection="1">
      <alignment horizontal="center" vertical="center" wrapText="1"/>
      <protection hidden="1"/>
    </xf>
    <xf numFmtId="43" fontId="0" fillId="0" borderId="9" xfId="0" applyNumberFormat="1" applyBorder="1" applyAlignment="1" applyProtection="1">
      <alignment horizontal="center" vertical="center" wrapText="1"/>
      <protection hidden="1"/>
    </xf>
    <xf numFmtId="41" fontId="4" fillId="4" borderId="18" xfId="4" applyNumberFormat="1" applyBorder="1" applyAlignment="1" applyProtection="1">
      <alignment horizontal="center" vertical="center" wrapText="1"/>
      <protection locked="0"/>
    </xf>
    <xf numFmtId="41" fontId="4" fillId="4" borderId="19" xfId="4" applyNumberFormat="1" applyBorder="1" applyAlignment="1" applyProtection="1">
      <alignment horizontal="center" vertical="center" wrapText="1"/>
      <protection locked="0"/>
    </xf>
    <xf numFmtId="41" fontId="3" fillId="3" borderId="20" xfId="3" applyNumberFormat="1" applyBorder="1" applyAlignment="1" applyProtection="1">
      <alignment horizontal="center" vertical="center"/>
      <protection locked="0"/>
    </xf>
    <xf numFmtId="41" fontId="4" fillId="4" borderId="21" xfId="4" applyNumberFormat="1" applyBorder="1" applyAlignment="1" applyProtection="1">
      <alignment horizontal="center" vertical="center" wrapText="1"/>
      <protection locked="0"/>
    </xf>
    <xf numFmtId="41" fontId="4" fillId="4" borderId="22" xfId="4" applyNumberFormat="1" applyBorder="1" applyAlignment="1" applyProtection="1">
      <alignment horizontal="center" vertical="center" wrapText="1"/>
      <protection locked="0"/>
    </xf>
    <xf numFmtId="41" fontId="3" fillId="3" borderId="23" xfId="3" applyNumberFormat="1" applyBorder="1" applyAlignment="1" applyProtection="1">
      <alignment horizontal="center" vertical="center"/>
      <protection locked="0"/>
    </xf>
    <xf numFmtId="0" fontId="0" fillId="11" borderId="9" xfId="0" applyFill="1" applyBorder="1" applyAlignment="1">
      <alignment horizontal="center" vertical="center" wrapText="1"/>
    </xf>
    <xf numFmtId="0" fontId="0" fillId="0" borderId="9" xfId="0" applyBorder="1" applyAlignment="1" applyProtection="1">
      <alignment horizontal="center" vertical="center" wrapText="1"/>
      <protection hidden="1"/>
    </xf>
    <xf numFmtId="2" fontId="0" fillId="0" borderId="9" xfId="0" applyNumberFormat="1" applyBorder="1" applyAlignment="1" applyProtection="1">
      <alignment horizontal="center" vertical="center" wrapText="1"/>
      <protection locked="0"/>
    </xf>
    <xf numFmtId="0" fontId="4" fillId="4" borderId="1" xfId="4" applyAlignment="1" applyProtection="1">
      <alignment horizontal="center" vertical="center" wrapText="1"/>
      <protection locked="0"/>
    </xf>
    <xf numFmtId="41" fontId="3" fillId="3" borderId="14" xfId="3" applyNumberFormat="1" applyBorder="1" applyAlignment="1" applyProtection="1">
      <alignment horizontal="center" vertical="center"/>
      <protection locked="0"/>
    </xf>
    <xf numFmtId="41" fontId="7" fillId="0" borderId="9" xfId="2" applyNumberFormat="1" applyFont="1" applyFill="1" applyBorder="1" applyAlignment="1" applyProtection="1">
      <alignment horizontal="center" vertical="center" wrapText="1"/>
      <protection locked="0"/>
    </xf>
    <xf numFmtId="41" fontId="0" fillId="0" borderId="10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</cellXfs>
  <cellStyles count="5">
    <cellStyle name="Komma" xfId="1" builtinId="3"/>
    <cellStyle name="Neutral" xfId="3" builtinId="28"/>
    <cellStyle name="Schlecht" xfId="2" builtinId="27"/>
    <cellStyle name="Standard" xfId="0" builtinId="0"/>
    <cellStyle name="Zelle überprüfen" xfId="4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30816</xdr:colOff>
      <xdr:row>0</xdr:row>
      <xdr:rowOff>1</xdr:rowOff>
    </xdr:from>
    <xdr:to>
      <xdr:col>0</xdr:col>
      <xdr:colOff>447676</xdr:colOff>
      <xdr:row>2</xdr:row>
      <xdr:rowOff>142875</xdr:rowOff>
    </xdr:to>
    <xdr:pic>
      <xdr:nvPicPr>
        <xdr:cNvPr id="2" name="Grafik 6">
          <a:extLst>
            <a:ext uri="{FF2B5EF4-FFF2-40B4-BE49-F238E27FC236}">
              <a16:creationId xmlns:a16="http://schemas.microsoft.com/office/drawing/2014/main" id="{BFC6597C-896E-4769-875D-C187606FB6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41" y="1"/>
          <a:ext cx="416860" cy="501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DD3A-75F5-4E92-974F-9ECE58D9E928}">
  <dimension ref="A1:AK164"/>
  <sheetViews>
    <sheetView tabSelected="1" workbookViewId="0">
      <selection sqref="A1:XFD1048576"/>
    </sheetView>
  </sheetViews>
  <sheetFormatPr baseColWidth="10" defaultColWidth="9.1796875" defaultRowHeight="14.5" x14ac:dyDescent="0.35"/>
  <cols>
    <col min="1" max="1" width="9.1796875" style="92"/>
    <col min="2" max="2" width="11" bestFit="1" customWidth="1"/>
    <col min="5" max="5" width="54.7265625" bestFit="1" customWidth="1"/>
    <col min="6" max="6" width="5.7265625" bestFit="1" customWidth="1"/>
    <col min="7" max="7" width="14.54296875" bestFit="1" customWidth="1"/>
    <col min="8" max="8" width="10.26953125" customWidth="1"/>
    <col min="9" max="9" width="13.26953125" bestFit="1" customWidth="1"/>
    <col min="10" max="10" width="9.7265625" customWidth="1"/>
    <col min="11" max="11" width="11.1796875" customWidth="1"/>
    <col min="15" max="15" width="17.7265625" customWidth="1"/>
    <col min="18" max="18" width="13.453125" customWidth="1"/>
    <col min="19" max="19" width="9.1796875" style="92"/>
    <col min="29" max="29" width="9.1796875" style="92"/>
    <col min="33" max="33" width="10" bestFit="1" customWidth="1"/>
    <col min="37" max="37" width="26.54296875" bestFit="1" customWidth="1"/>
  </cols>
  <sheetData>
    <row r="1" spans="1:37" x14ac:dyDescent="0.35">
      <c r="A1" s="1" t="s">
        <v>0</v>
      </c>
      <c r="B1" s="1"/>
      <c r="C1" s="1"/>
      <c r="D1" s="1"/>
      <c r="E1" s="1" t="s">
        <v>1</v>
      </c>
      <c r="F1" s="1" t="s">
        <v>2</v>
      </c>
      <c r="G1" s="1"/>
      <c r="H1" s="1"/>
      <c r="I1" s="1"/>
      <c r="J1" s="1"/>
      <c r="K1" s="1"/>
      <c r="L1" s="1"/>
      <c r="M1" s="2">
        <v>910911</v>
      </c>
      <c r="N1" s="2"/>
      <c r="O1" s="3"/>
      <c r="P1" s="3"/>
      <c r="Q1" s="4"/>
      <c r="R1" s="5" t="s">
        <v>0</v>
      </c>
      <c r="S1" s="5"/>
      <c r="T1" s="5"/>
      <c r="U1" s="5"/>
      <c r="V1" s="6"/>
      <c r="W1" s="7"/>
      <c r="X1" s="7"/>
      <c r="Y1" s="7"/>
      <c r="Z1" s="7"/>
      <c r="AA1" s="7"/>
      <c r="AB1" s="7"/>
      <c r="AC1" s="3"/>
      <c r="AD1" s="7"/>
      <c r="AE1" s="7"/>
      <c r="AF1" s="7"/>
      <c r="AG1" s="7"/>
      <c r="AH1" s="7"/>
      <c r="AI1" s="7"/>
      <c r="AJ1" s="4"/>
    </row>
    <row r="2" spans="1:3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3"/>
      <c r="P2" s="3"/>
      <c r="Q2" s="4"/>
      <c r="R2" s="5"/>
      <c r="S2" s="5"/>
      <c r="T2" s="5"/>
      <c r="U2" s="5"/>
      <c r="V2" s="7"/>
      <c r="W2" s="7"/>
      <c r="X2" s="7"/>
      <c r="Y2" s="7"/>
      <c r="Z2" s="7"/>
      <c r="AA2" s="7"/>
      <c r="AB2" s="7"/>
      <c r="AC2" s="3"/>
      <c r="AD2" s="7"/>
      <c r="AE2" s="7"/>
      <c r="AF2" s="7"/>
      <c r="AG2" s="7"/>
      <c r="AH2" s="7"/>
      <c r="AI2" s="7"/>
      <c r="AJ2" s="4"/>
    </row>
    <row r="3" spans="1:37" ht="12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3"/>
      <c r="P3" s="3"/>
      <c r="Q3" s="3"/>
      <c r="R3" s="5"/>
      <c r="S3" s="5"/>
      <c r="T3" s="5"/>
      <c r="U3" s="5"/>
      <c r="V3" s="6"/>
      <c r="W3" s="8"/>
      <c r="X3" s="9"/>
      <c r="Y3" s="9"/>
      <c r="Z3" s="9"/>
      <c r="AA3" s="9"/>
      <c r="AB3" s="9"/>
      <c r="AC3" s="10"/>
      <c r="AD3" s="9"/>
      <c r="AE3" s="9"/>
      <c r="AF3" s="9"/>
      <c r="AG3" s="9"/>
      <c r="AH3" s="9"/>
      <c r="AI3" s="9"/>
      <c r="AJ3" s="4"/>
    </row>
    <row r="4" spans="1:37" ht="18.75" customHeight="1" x14ac:dyDescent="0.3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 t="s">
        <v>4</v>
      </c>
      <c r="P4" s="13"/>
      <c r="Q4" s="13"/>
      <c r="R4" s="13"/>
      <c r="S4" s="13"/>
      <c r="T4" s="13"/>
      <c r="U4" s="13"/>
      <c r="V4" s="13"/>
      <c r="W4" s="14"/>
      <c r="X4" s="15" t="s">
        <v>5</v>
      </c>
      <c r="Y4" s="16"/>
      <c r="Z4" s="17"/>
      <c r="AA4" s="18" t="s">
        <v>6</v>
      </c>
      <c r="AB4" s="19"/>
      <c r="AC4" s="19"/>
      <c r="AD4" s="19"/>
      <c r="AE4" s="19"/>
      <c r="AF4" s="20"/>
      <c r="AG4" s="21" t="s">
        <v>7</v>
      </c>
      <c r="AH4" s="22" t="s">
        <v>8</v>
      </c>
      <c r="AI4" s="22"/>
      <c r="AJ4" s="23" t="s">
        <v>9</v>
      </c>
    </row>
    <row r="5" spans="1:37" ht="45.75" customHeight="1" thickBot="1" x14ac:dyDescent="0.4">
      <c r="A5" s="24" t="s">
        <v>10</v>
      </c>
      <c r="B5" s="24" t="s">
        <v>11</v>
      </c>
      <c r="C5" s="24" t="s">
        <v>12</v>
      </c>
      <c r="D5" s="24" t="s">
        <v>13</v>
      </c>
      <c r="E5" s="24" t="s">
        <v>14</v>
      </c>
      <c r="F5" s="24" t="s">
        <v>15</v>
      </c>
      <c r="G5" s="25" t="s">
        <v>16</v>
      </c>
      <c r="H5" s="26" t="s">
        <v>17</v>
      </c>
      <c r="I5" s="26" t="s">
        <v>18</v>
      </c>
      <c r="J5" s="26" t="s">
        <v>19</v>
      </c>
      <c r="K5" s="26" t="s">
        <v>20</v>
      </c>
      <c r="L5" s="27" t="s">
        <v>21</v>
      </c>
      <c r="M5" s="27"/>
      <c r="N5" s="27"/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9" t="s">
        <v>27</v>
      </c>
      <c r="U5" s="30"/>
      <c r="V5" s="31" t="s">
        <v>28</v>
      </c>
      <c r="W5" s="31" t="s">
        <v>29</v>
      </c>
      <c r="X5" s="32" t="s">
        <v>30</v>
      </c>
      <c r="Y5" s="28" t="s">
        <v>31</v>
      </c>
      <c r="Z5" s="28" t="s">
        <v>32</v>
      </c>
      <c r="AA5" s="28" t="s">
        <v>33</v>
      </c>
      <c r="AB5" s="28" t="s">
        <v>34</v>
      </c>
      <c r="AC5" s="28" t="s">
        <v>35</v>
      </c>
      <c r="AD5" s="28" t="s">
        <v>36</v>
      </c>
      <c r="AE5" s="28" t="s">
        <v>37</v>
      </c>
      <c r="AF5" s="28" t="s">
        <v>38</v>
      </c>
      <c r="AG5" s="28" t="s">
        <v>39</v>
      </c>
      <c r="AH5" s="32" t="s">
        <v>40</v>
      </c>
      <c r="AI5" s="28" t="s">
        <v>41</v>
      </c>
      <c r="AJ5" s="33" t="s">
        <v>42</v>
      </c>
      <c r="AK5" s="34" t="s">
        <v>43</v>
      </c>
    </row>
    <row r="6" spans="1:37" ht="15" customHeight="1" thickTop="1" thickBot="1" x14ac:dyDescent="0.4">
      <c r="A6" s="35">
        <v>1</v>
      </c>
      <c r="B6" s="36">
        <v>45932</v>
      </c>
      <c r="C6" s="35" t="s">
        <v>0</v>
      </c>
      <c r="D6" s="35"/>
      <c r="E6" s="37" t="s">
        <v>44</v>
      </c>
      <c r="F6" s="35" t="s">
        <v>45</v>
      </c>
      <c r="G6" s="35"/>
      <c r="H6" s="38" t="s">
        <v>46</v>
      </c>
      <c r="I6" s="38" t="s">
        <v>47</v>
      </c>
      <c r="J6" s="38" t="s">
        <v>48</v>
      </c>
      <c r="K6" s="38" t="s">
        <v>49</v>
      </c>
      <c r="L6" s="39">
        <v>100</v>
      </c>
      <c r="M6" s="40">
        <v>100</v>
      </c>
      <c r="N6" s="41">
        <v>100</v>
      </c>
      <c r="O6" s="42" t="s">
        <v>50</v>
      </c>
      <c r="P6" s="43">
        <v>230</v>
      </c>
      <c r="Q6" s="43"/>
      <c r="R6" s="43">
        <v>0</v>
      </c>
      <c r="S6" s="44">
        <v>44</v>
      </c>
      <c r="T6" s="45">
        <f>(M6+N6+10)/25.4</f>
        <v>8.2677165354330722</v>
      </c>
      <c r="U6" s="45">
        <f>((L6+M6+L6+M6+55)/25.4)</f>
        <v>17.913385826771655</v>
      </c>
      <c r="V6" s="43">
        <f>T7*U7*P6/1550</f>
        <v>26.041935483870969</v>
      </c>
      <c r="W6" s="43">
        <f t="shared" ref="W6:W115" si="0">S6*V6/1000</f>
        <v>1.1458451612903227</v>
      </c>
      <c r="X6" s="46">
        <f t="shared" ref="X6:X115" si="1">V6*3%</f>
        <v>0.781258064516129</v>
      </c>
      <c r="Y6" s="43">
        <f>S6*X6/1000</f>
        <v>3.4375354838709675E-2</v>
      </c>
      <c r="Z6" s="43">
        <f>W6+Y6</f>
        <v>1.1802205161290322</v>
      </c>
      <c r="AA6" s="43">
        <v>6.8</v>
      </c>
      <c r="AB6" s="43">
        <f>(V6+X6)*AA6/1000</f>
        <v>0.18239771612903227</v>
      </c>
      <c r="AC6" s="43">
        <f>0.5/3</f>
        <v>0.16666666666666666</v>
      </c>
      <c r="AD6" s="47">
        <v>0</v>
      </c>
      <c r="AE6" s="47">
        <v>0</v>
      </c>
      <c r="AF6" s="43">
        <f>AB6+AC6+AD6+AE6</f>
        <v>0.34906438279569896</v>
      </c>
      <c r="AG6" s="47">
        <v>0</v>
      </c>
      <c r="AH6" s="48">
        <f>(Z6+AF6+AG6)*10%</f>
        <v>0.15292848989247312</v>
      </c>
      <c r="AI6" s="47">
        <v>0</v>
      </c>
      <c r="AJ6" s="49">
        <f>Z6+AF6+AG6+AH6-AI6</f>
        <v>1.6822133888172044</v>
      </c>
      <c r="AK6" s="50">
        <f>AJ6+AJ7+AJ8</f>
        <v>4.4422902912903224</v>
      </c>
    </row>
    <row r="7" spans="1:37" ht="15" customHeight="1" thickTop="1" thickBot="1" x14ac:dyDescent="0.4">
      <c r="A7" s="35">
        <v>1</v>
      </c>
      <c r="B7" s="36">
        <v>45932</v>
      </c>
      <c r="C7" s="35" t="s">
        <v>0</v>
      </c>
      <c r="D7" s="35"/>
      <c r="E7" s="37" t="s">
        <v>44</v>
      </c>
      <c r="F7" s="35" t="s">
        <v>45</v>
      </c>
      <c r="G7" s="35"/>
      <c r="H7" s="38" t="s">
        <v>46</v>
      </c>
      <c r="I7" s="38" t="s">
        <v>47</v>
      </c>
      <c r="J7" s="38" t="s">
        <v>48</v>
      </c>
      <c r="K7" s="38" t="s">
        <v>49</v>
      </c>
      <c r="L7" s="39"/>
      <c r="M7" s="40"/>
      <c r="N7" s="41"/>
      <c r="O7" s="42" t="s">
        <v>51</v>
      </c>
      <c r="P7" s="43">
        <v>150</v>
      </c>
      <c r="Q7" s="43"/>
      <c r="R7" s="43">
        <v>0</v>
      </c>
      <c r="S7" s="44">
        <v>38.5</v>
      </c>
      <c r="T7" s="43">
        <f>ROUNDUP($T6,0)+0.75</f>
        <v>9.75</v>
      </c>
      <c r="U7" s="43">
        <f>CEILING($U6,0.5)</f>
        <v>18</v>
      </c>
      <c r="V7" s="43">
        <f>T7*U7*(P7*1.4)/1550</f>
        <v>23.77741935483871</v>
      </c>
      <c r="W7" s="43">
        <f t="shared" si="0"/>
        <v>0.91543064516129025</v>
      </c>
      <c r="X7" s="46">
        <f t="shared" si="1"/>
        <v>0.7133225806451613</v>
      </c>
      <c r="Y7" s="43">
        <f t="shared" ref="Y7:Y8" si="2">S7*X7/1000</f>
        <v>2.7462919354838709E-2</v>
      </c>
      <c r="Z7" s="43">
        <f t="shared" ref="Z7:Z8" si="3">W7+Y7</f>
        <v>0.94289356451612893</v>
      </c>
      <c r="AA7" s="43">
        <v>6.8</v>
      </c>
      <c r="AB7" s="43">
        <f t="shared" ref="AB7:AB8" si="4">(V7+X7)*AA7/1000</f>
        <v>0.16653704516129031</v>
      </c>
      <c r="AC7" s="43">
        <f t="shared" ref="AC7:AC32" si="5">0.5/3</f>
        <v>0.16666666666666666</v>
      </c>
      <c r="AD7" s="47">
        <v>0</v>
      </c>
      <c r="AE7" s="47">
        <v>0</v>
      </c>
      <c r="AF7" s="43">
        <f t="shared" ref="AF7:AF72" si="6">AB7+AC7+AD7+AE7</f>
        <v>0.33320371182795694</v>
      </c>
      <c r="AG7" s="47">
        <v>0</v>
      </c>
      <c r="AH7" s="48">
        <f t="shared" ref="AH7:AH72" si="7">(Z7+AF7+AG7)*10%</f>
        <v>0.12760972763440859</v>
      </c>
      <c r="AI7" s="47">
        <v>0</v>
      </c>
      <c r="AJ7" s="49">
        <f t="shared" ref="AJ7:AJ72" si="8">Z7+AF7+AG7+AH7-AI7</f>
        <v>1.4037070039784945</v>
      </c>
      <c r="AK7" s="50"/>
    </row>
    <row r="8" spans="1:37" ht="15" customHeight="1" thickTop="1" thickBot="1" x14ac:dyDescent="0.4">
      <c r="A8" s="35">
        <v>1</v>
      </c>
      <c r="B8" s="36">
        <v>45932</v>
      </c>
      <c r="C8" s="35" t="s">
        <v>0</v>
      </c>
      <c r="D8" s="35"/>
      <c r="E8" s="37" t="s">
        <v>44</v>
      </c>
      <c r="F8" s="35" t="s">
        <v>45</v>
      </c>
      <c r="G8" s="35"/>
      <c r="H8" s="38" t="s">
        <v>46</v>
      </c>
      <c r="I8" s="38" t="s">
        <v>47</v>
      </c>
      <c r="J8" s="38" t="s">
        <v>48</v>
      </c>
      <c r="K8" s="38" t="s">
        <v>49</v>
      </c>
      <c r="L8" s="39"/>
      <c r="M8" s="40"/>
      <c r="N8" s="41"/>
      <c r="O8" s="42" t="s">
        <v>50</v>
      </c>
      <c r="P8" s="43">
        <v>180</v>
      </c>
      <c r="Q8" s="43"/>
      <c r="R8" s="43">
        <v>0</v>
      </c>
      <c r="S8" s="44">
        <v>44</v>
      </c>
      <c r="T8" s="43">
        <f>T7</f>
        <v>9.75</v>
      </c>
      <c r="U8" s="43">
        <f>U7</f>
        <v>18</v>
      </c>
      <c r="V8" s="43">
        <f>T8*U8*P8/1550</f>
        <v>20.380645161290321</v>
      </c>
      <c r="W8" s="43">
        <f t="shared" si="0"/>
        <v>0.89674838709677407</v>
      </c>
      <c r="X8" s="46">
        <f t="shared" si="1"/>
        <v>0.61141935483870957</v>
      </c>
      <c r="Y8" s="43">
        <f t="shared" si="2"/>
        <v>2.6902451612903222E-2</v>
      </c>
      <c r="Z8" s="43">
        <f t="shared" si="3"/>
        <v>0.92365083870967735</v>
      </c>
      <c r="AA8" s="43">
        <v>6.8</v>
      </c>
      <c r="AB8" s="43">
        <f t="shared" si="4"/>
        <v>0.14274603870967742</v>
      </c>
      <c r="AC8" s="43">
        <f t="shared" si="5"/>
        <v>0.16666666666666666</v>
      </c>
      <c r="AD8" s="47">
        <v>0</v>
      </c>
      <c r="AE8" s="47">
        <v>0</v>
      </c>
      <c r="AF8" s="43">
        <f t="shared" si="6"/>
        <v>0.30941270537634408</v>
      </c>
      <c r="AG8" s="47">
        <v>0</v>
      </c>
      <c r="AH8" s="48">
        <f t="shared" si="7"/>
        <v>0.12330635440860215</v>
      </c>
      <c r="AI8" s="47">
        <v>0</v>
      </c>
      <c r="AJ8" s="49">
        <f t="shared" si="8"/>
        <v>1.3563698984946235</v>
      </c>
      <c r="AK8" s="50"/>
    </row>
    <row r="9" spans="1:37" ht="15" customHeight="1" thickTop="1" thickBot="1" x14ac:dyDescent="0.4">
      <c r="A9" s="35">
        <v>2</v>
      </c>
      <c r="B9" s="36">
        <v>45932</v>
      </c>
      <c r="C9" s="35" t="s">
        <v>0</v>
      </c>
      <c r="D9" s="35"/>
      <c r="E9" s="51" t="s">
        <v>52</v>
      </c>
      <c r="F9" s="35" t="s">
        <v>45</v>
      </c>
      <c r="G9" s="35"/>
      <c r="H9" s="38" t="s">
        <v>46</v>
      </c>
      <c r="I9" s="38" t="s">
        <v>53</v>
      </c>
      <c r="J9" s="38" t="s">
        <v>48</v>
      </c>
      <c r="K9" s="38" t="s">
        <v>49</v>
      </c>
      <c r="L9" s="39">
        <v>100</v>
      </c>
      <c r="M9" s="40">
        <v>100</v>
      </c>
      <c r="N9" s="41">
        <v>100</v>
      </c>
      <c r="O9" s="42" t="s">
        <v>50</v>
      </c>
      <c r="P9" s="43">
        <v>230</v>
      </c>
      <c r="Q9" s="43"/>
      <c r="R9" s="43">
        <v>0</v>
      </c>
      <c r="S9" s="44">
        <v>44</v>
      </c>
      <c r="T9" s="45">
        <f>((M9/2)+N9+10)/25.4</f>
        <v>6.2992125984251972</v>
      </c>
      <c r="U9" s="45">
        <f>((L9+M9+L9+M9+55)/25.4)</f>
        <v>17.913385826771655</v>
      </c>
      <c r="V9" s="43">
        <f>T10*U10*P9/1550</f>
        <v>20.7</v>
      </c>
      <c r="W9" s="43">
        <f t="shared" si="0"/>
        <v>0.91079999999999994</v>
      </c>
      <c r="X9" s="46">
        <f t="shared" si="1"/>
        <v>0.621</v>
      </c>
      <c r="Y9" s="43">
        <f>S9*X9/1000</f>
        <v>2.7323999999999998E-2</v>
      </c>
      <c r="Z9" s="43">
        <f>W9+Y9</f>
        <v>0.93812399999999996</v>
      </c>
      <c r="AA9" s="43">
        <v>6.8</v>
      </c>
      <c r="AB9" s="43">
        <f>(V9+X9)*AA9/1000</f>
        <v>0.14498279999999997</v>
      </c>
      <c r="AC9" s="43">
        <f t="shared" si="5"/>
        <v>0.16666666666666666</v>
      </c>
      <c r="AD9" s="47">
        <v>0</v>
      </c>
      <c r="AE9" s="47">
        <v>0</v>
      </c>
      <c r="AF9" s="43">
        <f t="shared" si="6"/>
        <v>0.3116494666666666</v>
      </c>
      <c r="AG9" s="47">
        <v>0</v>
      </c>
      <c r="AH9" s="48">
        <f t="shared" si="7"/>
        <v>0.12497734666666666</v>
      </c>
      <c r="AI9" s="47">
        <v>0</v>
      </c>
      <c r="AJ9" s="49">
        <f t="shared" si="8"/>
        <v>1.374750813333333</v>
      </c>
      <c r="AK9" s="50">
        <f t="shared" ref="AK9:AK70" si="9">AJ9+AJ10+AJ11</f>
        <v>4.0968836919999996</v>
      </c>
    </row>
    <row r="10" spans="1:37" ht="15" customHeight="1" thickTop="1" thickBot="1" x14ac:dyDescent="0.4">
      <c r="A10" s="35">
        <v>2</v>
      </c>
      <c r="B10" s="36">
        <v>45932</v>
      </c>
      <c r="C10" s="35" t="s">
        <v>0</v>
      </c>
      <c r="D10" s="35"/>
      <c r="E10" s="51" t="s">
        <v>52</v>
      </c>
      <c r="F10" s="35" t="s">
        <v>45</v>
      </c>
      <c r="G10" s="35"/>
      <c r="H10" s="38" t="s">
        <v>46</v>
      </c>
      <c r="I10" s="38" t="s">
        <v>53</v>
      </c>
      <c r="J10" s="38" t="s">
        <v>48</v>
      </c>
      <c r="K10" s="38" t="s">
        <v>49</v>
      </c>
      <c r="L10" s="39"/>
      <c r="M10" s="40"/>
      <c r="N10" s="41"/>
      <c r="O10" s="42" t="s">
        <v>51</v>
      </c>
      <c r="P10" s="43">
        <v>180</v>
      </c>
      <c r="Q10" s="43"/>
      <c r="R10" s="43">
        <v>0</v>
      </c>
      <c r="S10" s="44">
        <v>38.5</v>
      </c>
      <c r="T10" s="43">
        <f>ROUNDUP($T9,0)+0.75</f>
        <v>7.75</v>
      </c>
      <c r="U10" s="43">
        <f>CEILING($U9,0.5)</f>
        <v>18</v>
      </c>
      <c r="V10" s="43">
        <f>T10*U10*(P10*1.4)/1550</f>
        <v>22.679999999999996</v>
      </c>
      <c r="W10" s="43">
        <f t="shared" si="0"/>
        <v>0.87317999999999985</v>
      </c>
      <c r="X10" s="46">
        <f t="shared" si="1"/>
        <v>0.68039999999999989</v>
      </c>
      <c r="Y10" s="43">
        <f t="shared" ref="Y10:Y11" si="10">S10*X10/1000</f>
        <v>2.6195399999999997E-2</v>
      </c>
      <c r="Z10" s="43">
        <f t="shared" ref="Z10:Z11" si="11">W10+Y10</f>
        <v>0.89937539999999982</v>
      </c>
      <c r="AA10" s="43">
        <v>6.8</v>
      </c>
      <c r="AB10" s="43">
        <f t="shared" ref="AB10:AB11" si="12">(V10+X10)*AA10/1000</f>
        <v>0.15885071999999997</v>
      </c>
      <c r="AC10" s="43">
        <f t="shared" si="5"/>
        <v>0.16666666666666666</v>
      </c>
      <c r="AD10" s="47">
        <v>0</v>
      </c>
      <c r="AE10" s="47">
        <v>0</v>
      </c>
      <c r="AF10" s="43">
        <f t="shared" si="6"/>
        <v>0.32551738666666663</v>
      </c>
      <c r="AG10" s="47">
        <v>0</v>
      </c>
      <c r="AH10" s="48">
        <f t="shared" si="7"/>
        <v>0.12248927866666666</v>
      </c>
      <c r="AI10" s="47">
        <v>0</v>
      </c>
      <c r="AJ10" s="49">
        <f t="shared" si="8"/>
        <v>1.3473820653333333</v>
      </c>
      <c r="AK10" s="50"/>
    </row>
    <row r="11" spans="1:37" ht="15" customHeight="1" thickTop="1" thickBot="1" x14ac:dyDescent="0.4">
      <c r="A11" s="35">
        <v>2</v>
      </c>
      <c r="B11" s="36">
        <v>45932</v>
      </c>
      <c r="C11" s="35" t="s">
        <v>0</v>
      </c>
      <c r="D11" s="35"/>
      <c r="E11" s="51" t="s">
        <v>52</v>
      </c>
      <c r="F11" s="35" t="s">
        <v>45</v>
      </c>
      <c r="G11" s="35"/>
      <c r="H11" s="38" t="s">
        <v>46</v>
      </c>
      <c r="I11" s="38" t="s">
        <v>53</v>
      </c>
      <c r="J11" s="38" t="s">
        <v>48</v>
      </c>
      <c r="K11" s="38" t="s">
        <v>49</v>
      </c>
      <c r="L11" s="39"/>
      <c r="M11" s="40"/>
      <c r="N11" s="41"/>
      <c r="O11" s="42" t="s">
        <v>50</v>
      </c>
      <c r="P11" s="43">
        <v>230</v>
      </c>
      <c r="Q11" s="43"/>
      <c r="R11" s="43">
        <v>0</v>
      </c>
      <c r="S11" s="44">
        <v>44</v>
      </c>
      <c r="T11" s="43">
        <f>T10</f>
        <v>7.75</v>
      </c>
      <c r="U11" s="43">
        <f>U10</f>
        <v>18</v>
      </c>
      <c r="V11" s="43">
        <f>T11*U11*P11/1550</f>
        <v>20.7</v>
      </c>
      <c r="W11" s="43">
        <f t="shared" si="0"/>
        <v>0.91079999999999994</v>
      </c>
      <c r="X11" s="46">
        <f t="shared" si="1"/>
        <v>0.621</v>
      </c>
      <c r="Y11" s="43">
        <f t="shared" si="10"/>
        <v>2.7323999999999998E-2</v>
      </c>
      <c r="Z11" s="43">
        <f t="shared" si="11"/>
        <v>0.93812399999999996</v>
      </c>
      <c r="AA11" s="43">
        <v>6.8</v>
      </c>
      <c r="AB11" s="43">
        <f t="shared" si="12"/>
        <v>0.14498279999999997</v>
      </c>
      <c r="AC11" s="43">
        <f t="shared" si="5"/>
        <v>0.16666666666666666</v>
      </c>
      <c r="AD11" s="47">
        <v>0</v>
      </c>
      <c r="AE11" s="47">
        <v>0</v>
      </c>
      <c r="AF11" s="43">
        <f t="shared" si="6"/>
        <v>0.3116494666666666</v>
      </c>
      <c r="AG11" s="47">
        <v>0</v>
      </c>
      <c r="AH11" s="48">
        <f t="shared" si="7"/>
        <v>0.12497734666666666</v>
      </c>
      <c r="AI11" s="47">
        <v>0</v>
      </c>
      <c r="AJ11" s="49">
        <f t="shared" si="8"/>
        <v>1.374750813333333</v>
      </c>
      <c r="AK11" s="50"/>
    </row>
    <row r="12" spans="1:37" ht="15" customHeight="1" thickTop="1" thickBot="1" x14ac:dyDescent="0.4">
      <c r="A12" s="35">
        <v>3</v>
      </c>
      <c r="B12" s="36">
        <v>45932</v>
      </c>
      <c r="C12" s="35" t="s">
        <v>0</v>
      </c>
      <c r="D12" s="35"/>
      <c r="E12" s="51" t="s">
        <v>54</v>
      </c>
      <c r="F12" s="35" t="s">
        <v>45</v>
      </c>
      <c r="G12" s="35"/>
      <c r="H12" s="38" t="s">
        <v>55</v>
      </c>
      <c r="I12" s="38" t="s">
        <v>53</v>
      </c>
      <c r="J12" s="38" t="s">
        <v>48</v>
      </c>
      <c r="K12" s="38" t="s">
        <v>49</v>
      </c>
      <c r="L12" s="39">
        <v>100</v>
      </c>
      <c r="M12" s="40">
        <v>100</v>
      </c>
      <c r="N12" s="41">
        <v>100</v>
      </c>
      <c r="O12" s="42" t="s">
        <v>50</v>
      </c>
      <c r="P12" s="43">
        <v>230</v>
      </c>
      <c r="Q12" s="43"/>
      <c r="R12" s="43">
        <v>0</v>
      </c>
      <c r="S12" s="44">
        <v>44</v>
      </c>
      <c r="T12" s="45">
        <f>((M12/2)+N12+10)/25.4</f>
        <v>6.2992125984251972</v>
      </c>
      <c r="U12" s="45">
        <f>((L12+M12+L12+M12+55)/25.4)</f>
        <v>17.913385826771655</v>
      </c>
      <c r="V12" s="43">
        <f>T13*U13*P12/1550</f>
        <v>20.7</v>
      </c>
      <c r="W12" s="43">
        <f t="shared" si="0"/>
        <v>0.91079999999999994</v>
      </c>
      <c r="X12" s="46">
        <f t="shared" si="1"/>
        <v>0.621</v>
      </c>
      <c r="Y12" s="43">
        <f>S12*X12/1000</f>
        <v>2.7323999999999998E-2</v>
      </c>
      <c r="Z12" s="43">
        <f>W12+Y12</f>
        <v>0.93812399999999996</v>
      </c>
      <c r="AA12" s="43">
        <v>6.8</v>
      </c>
      <c r="AB12" s="43">
        <f>(V12+X12)*AA12/1000</f>
        <v>0.14498279999999997</v>
      </c>
      <c r="AC12" s="43">
        <f t="shared" si="5"/>
        <v>0.16666666666666666</v>
      </c>
      <c r="AD12" s="47">
        <v>0</v>
      </c>
      <c r="AE12" s="47">
        <v>0</v>
      </c>
      <c r="AF12" s="43">
        <f t="shared" si="6"/>
        <v>0.3116494666666666</v>
      </c>
      <c r="AG12" s="47">
        <v>0</v>
      </c>
      <c r="AH12" s="48">
        <f t="shared" si="7"/>
        <v>0.12497734666666666</v>
      </c>
      <c r="AI12" s="47">
        <v>0</v>
      </c>
      <c r="AJ12" s="49">
        <f t="shared" si="8"/>
        <v>1.374750813333333</v>
      </c>
      <c r="AK12" s="50">
        <f t="shared" si="9"/>
        <v>6.4523499039999992</v>
      </c>
    </row>
    <row r="13" spans="1:37" ht="15" customHeight="1" thickTop="1" thickBot="1" x14ac:dyDescent="0.4">
      <c r="A13" s="35">
        <v>3</v>
      </c>
      <c r="B13" s="36">
        <v>45932</v>
      </c>
      <c r="C13" s="35" t="s">
        <v>0</v>
      </c>
      <c r="D13" s="35"/>
      <c r="E13" s="51" t="s">
        <v>54</v>
      </c>
      <c r="F13" s="35" t="s">
        <v>45</v>
      </c>
      <c r="G13" s="35"/>
      <c r="H13" s="38" t="s">
        <v>55</v>
      </c>
      <c r="I13" s="38" t="s">
        <v>53</v>
      </c>
      <c r="J13" s="38" t="s">
        <v>48</v>
      </c>
      <c r="K13" s="38" t="s">
        <v>49</v>
      </c>
      <c r="L13" s="39"/>
      <c r="M13" s="40"/>
      <c r="N13" s="41"/>
      <c r="O13" s="42" t="s">
        <v>51</v>
      </c>
      <c r="P13" s="43">
        <v>180</v>
      </c>
      <c r="Q13" s="43"/>
      <c r="R13" s="43">
        <v>0</v>
      </c>
      <c r="S13" s="44">
        <v>38.5</v>
      </c>
      <c r="T13" s="43">
        <f>ROUNDUP($T12,0)+0.75</f>
        <v>7.75</v>
      </c>
      <c r="U13" s="43">
        <f>CEILING($U12,0.5)</f>
        <v>18</v>
      </c>
      <c r="V13" s="43">
        <f>T13*U13*(P13*1.4)*2/1550</f>
        <v>45.359999999999992</v>
      </c>
      <c r="W13" s="43">
        <f t="shared" si="0"/>
        <v>1.7463599999999997</v>
      </c>
      <c r="X13" s="46">
        <f t="shared" si="1"/>
        <v>1.3607999999999998</v>
      </c>
      <c r="Y13" s="43">
        <f t="shared" ref="Y13:Y14" si="13">S13*X13/1000</f>
        <v>5.2390799999999994E-2</v>
      </c>
      <c r="Z13" s="43">
        <f t="shared" ref="Z13:Z14" si="14">W13+Y13</f>
        <v>1.7987507999999996</v>
      </c>
      <c r="AA13" s="43">
        <v>6.8</v>
      </c>
      <c r="AB13" s="43">
        <f t="shared" ref="AB13:AB14" si="15">(V13+X13)*AA13/1000</f>
        <v>0.31770143999999995</v>
      </c>
      <c r="AC13" s="43">
        <f t="shared" si="5"/>
        <v>0.16666666666666666</v>
      </c>
      <c r="AD13" s="47">
        <v>0</v>
      </c>
      <c r="AE13" s="47">
        <v>0</v>
      </c>
      <c r="AF13" s="43">
        <f t="shared" si="6"/>
        <v>0.48436810666666663</v>
      </c>
      <c r="AG13" s="47">
        <v>0</v>
      </c>
      <c r="AH13" s="48">
        <f t="shared" si="7"/>
        <v>0.22831189066666663</v>
      </c>
      <c r="AI13" s="47">
        <v>0</v>
      </c>
      <c r="AJ13" s="49">
        <f t="shared" si="8"/>
        <v>2.511430797333333</v>
      </c>
      <c r="AK13" s="50"/>
    </row>
    <row r="14" spans="1:37" ht="15" customHeight="1" thickTop="1" thickBot="1" x14ac:dyDescent="0.4">
      <c r="A14" s="35">
        <v>3</v>
      </c>
      <c r="B14" s="36">
        <v>45932</v>
      </c>
      <c r="C14" s="35" t="s">
        <v>0</v>
      </c>
      <c r="D14" s="35"/>
      <c r="E14" s="51" t="s">
        <v>54</v>
      </c>
      <c r="F14" s="35" t="s">
        <v>45</v>
      </c>
      <c r="G14" s="35"/>
      <c r="H14" s="38" t="s">
        <v>55</v>
      </c>
      <c r="I14" s="38" t="s">
        <v>53</v>
      </c>
      <c r="J14" s="38" t="s">
        <v>48</v>
      </c>
      <c r="K14" s="38" t="s">
        <v>49</v>
      </c>
      <c r="L14" s="39"/>
      <c r="M14" s="40"/>
      <c r="N14" s="41"/>
      <c r="O14" s="42" t="s">
        <v>50</v>
      </c>
      <c r="P14" s="43">
        <v>230</v>
      </c>
      <c r="Q14" s="43"/>
      <c r="R14" s="43">
        <v>0</v>
      </c>
      <c r="S14" s="44">
        <v>44</v>
      </c>
      <c r="T14" s="43">
        <f>T13</f>
        <v>7.75</v>
      </c>
      <c r="U14" s="43">
        <f>U13</f>
        <v>18</v>
      </c>
      <c r="V14" s="43">
        <f>T14*U14*P14*2/1550</f>
        <v>41.4</v>
      </c>
      <c r="W14" s="43">
        <f t="shared" si="0"/>
        <v>1.8215999999999999</v>
      </c>
      <c r="X14" s="46">
        <f t="shared" si="1"/>
        <v>1.242</v>
      </c>
      <c r="Y14" s="43">
        <f t="shared" si="13"/>
        <v>5.4647999999999995E-2</v>
      </c>
      <c r="Z14" s="43">
        <f t="shared" si="14"/>
        <v>1.8762479999999999</v>
      </c>
      <c r="AA14" s="43">
        <v>6.8</v>
      </c>
      <c r="AB14" s="43">
        <f t="shared" si="15"/>
        <v>0.28996559999999993</v>
      </c>
      <c r="AC14" s="43">
        <f t="shared" si="5"/>
        <v>0.16666666666666666</v>
      </c>
      <c r="AD14" s="47">
        <v>0</v>
      </c>
      <c r="AE14" s="47">
        <v>0</v>
      </c>
      <c r="AF14" s="43">
        <f t="shared" si="6"/>
        <v>0.45663226666666656</v>
      </c>
      <c r="AG14" s="47">
        <v>0</v>
      </c>
      <c r="AH14" s="48">
        <f t="shared" si="7"/>
        <v>0.23328802666666665</v>
      </c>
      <c r="AI14" s="47">
        <v>0</v>
      </c>
      <c r="AJ14" s="49">
        <f t="shared" si="8"/>
        <v>2.566168293333333</v>
      </c>
      <c r="AK14" s="50"/>
    </row>
    <row r="15" spans="1:37" s="66" customFormat="1" ht="15" customHeight="1" thickTop="1" thickBot="1" x14ac:dyDescent="0.4">
      <c r="A15" s="52">
        <v>4</v>
      </c>
      <c r="B15" s="53">
        <v>45932</v>
      </c>
      <c r="C15" s="52" t="s">
        <v>0</v>
      </c>
      <c r="D15" s="52"/>
      <c r="E15" s="54" t="s">
        <v>56</v>
      </c>
      <c r="F15" s="52" t="s">
        <v>45</v>
      </c>
      <c r="G15" s="52"/>
      <c r="H15" s="55" t="s">
        <v>46</v>
      </c>
      <c r="I15" s="55" t="s">
        <v>47</v>
      </c>
      <c r="J15" s="55" t="s">
        <v>57</v>
      </c>
      <c r="K15" s="55" t="s">
        <v>49</v>
      </c>
      <c r="L15" s="56">
        <v>555</v>
      </c>
      <c r="M15" s="56">
        <v>455</v>
      </c>
      <c r="N15" s="56">
        <v>815</v>
      </c>
      <c r="O15" s="57" t="s">
        <v>50</v>
      </c>
      <c r="P15" s="58">
        <v>230</v>
      </c>
      <c r="Q15" s="58"/>
      <c r="R15" s="58">
        <v>0</v>
      </c>
      <c r="S15" s="59">
        <v>44</v>
      </c>
      <c r="T15" s="60">
        <f>(M15+N15+10)/25.4</f>
        <v>50.393700787401578</v>
      </c>
      <c r="U15" s="60">
        <f>((L15+M15+L15+M15+55+55)/25.4)</f>
        <v>83.858267716535437</v>
      </c>
      <c r="V15" s="58">
        <f>T16*U16*P15/1550</f>
        <v>645.03870967741932</v>
      </c>
      <c r="W15" s="58">
        <f t="shared" si="0"/>
        <v>28.381703225806451</v>
      </c>
      <c r="X15" s="61">
        <f t="shared" si="1"/>
        <v>19.35116129032258</v>
      </c>
      <c r="Y15" s="58">
        <f>S15*X15/1000</f>
        <v>0.85145109677419351</v>
      </c>
      <c r="Z15" s="58">
        <f>W15+Y15</f>
        <v>29.233154322580646</v>
      </c>
      <c r="AA15" s="58">
        <v>6.8</v>
      </c>
      <c r="AB15" s="58">
        <f>(V15+X15)*AA15/1000</f>
        <v>4.5178511225806455</v>
      </c>
      <c r="AC15" s="58">
        <f t="shared" si="5"/>
        <v>0.16666666666666666</v>
      </c>
      <c r="AD15" s="62">
        <v>0</v>
      </c>
      <c r="AE15" s="62">
        <v>0</v>
      </c>
      <c r="AF15" s="58">
        <f t="shared" si="6"/>
        <v>4.6845177892473124</v>
      </c>
      <c r="AG15" s="62">
        <v>0</v>
      </c>
      <c r="AH15" s="63">
        <f t="shared" si="7"/>
        <v>3.3917672111827954</v>
      </c>
      <c r="AI15" s="62">
        <v>0</v>
      </c>
      <c r="AJ15" s="64">
        <f t="shared" si="8"/>
        <v>37.30943932301075</v>
      </c>
      <c r="AK15" s="65">
        <f t="shared" si="9"/>
        <v>96.959036445806447</v>
      </c>
    </row>
    <row r="16" spans="1:37" s="66" customFormat="1" ht="15" customHeight="1" thickTop="1" thickBot="1" x14ac:dyDescent="0.4">
      <c r="A16" s="52">
        <v>4</v>
      </c>
      <c r="B16" s="53">
        <v>45932</v>
      </c>
      <c r="C16" s="52" t="s">
        <v>0</v>
      </c>
      <c r="D16" s="52"/>
      <c r="E16" s="54" t="s">
        <v>56</v>
      </c>
      <c r="F16" s="52" t="s">
        <v>45</v>
      </c>
      <c r="G16" s="52"/>
      <c r="H16" s="55" t="s">
        <v>46</v>
      </c>
      <c r="I16" s="55" t="s">
        <v>47</v>
      </c>
      <c r="J16" s="55" t="s">
        <v>57</v>
      </c>
      <c r="K16" s="55" t="s">
        <v>49</v>
      </c>
      <c r="L16" s="67"/>
      <c r="M16" s="68"/>
      <c r="N16" s="69"/>
      <c r="O16" s="57" t="s">
        <v>51</v>
      </c>
      <c r="P16" s="58">
        <v>150</v>
      </c>
      <c r="Q16" s="58"/>
      <c r="R16" s="58">
        <v>0</v>
      </c>
      <c r="S16" s="59">
        <v>38.5</v>
      </c>
      <c r="T16" s="58">
        <f>ROUNDUP($T15,0)+0.75</f>
        <v>51.75</v>
      </c>
      <c r="U16" s="58">
        <f>CEILING($U15,0.5)</f>
        <v>84</v>
      </c>
      <c r="V16" s="58">
        <f>T16*U16*(P16*1.4)/1550</f>
        <v>588.94838709677424</v>
      </c>
      <c r="W16" s="58">
        <f t="shared" si="0"/>
        <v>22.674512903225807</v>
      </c>
      <c r="X16" s="61">
        <f t="shared" si="1"/>
        <v>17.668451612903226</v>
      </c>
      <c r="Y16" s="58">
        <f t="shared" ref="Y16:Y17" si="16">S16*X16/1000</f>
        <v>0.68023538709677411</v>
      </c>
      <c r="Z16" s="58">
        <f t="shared" ref="Z16:Z17" si="17">W16+Y16</f>
        <v>23.354748290322583</v>
      </c>
      <c r="AA16" s="58">
        <v>6.8</v>
      </c>
      <c r="AB16" s="58">
        <f t="shared" ref="AB16:AB17" si="18">(V16+X16)*AA16/1000</f>
        <v>4.1249945032258069</v>
      </c>
      <c r="AC16" s="58">
        <f t="shared" si="5"/>
        <v>0.16666666666666666</v>
      </c>
      <c r="AD16" s="62">
        <v>0</v>
      </c>
      <c r="AE16" s="62">
        <v>0</v>
      </c>
      <c r="AF16" s="58">
        <f t="shared" si="6"/>
        <v>4.2916611698924738</v>
      </c>
      <c r="AG16" s="62">
        <v>0</v>
      </c>
      <c r="AH16" s="63">
        <f t="shared" si="7"/>
        <v>2.764640946021506</v>
      </c>
      <c r="AI16" s="62">
        <v>0</v>
      </c>
      <c r="AJ16" s="64">
        <f t="shared" si="8"/>
        <v>30.411050406236562</v>
      </c>
      <c r="AK16" s="65"/>
    </row>
    <row r="17" spans="1:37" s="66" customFormat="1" ht="15" customHeight="1" thickTop="1" thickBot="1" x14ac:dyDescent="0.4">
      <c r="A17" s="52">
        <v>4</v>
      </c>
      <c r="B17" s="53">
        <v>45932</v>
      </c>
      <c r="C17" s="52" t="s">
        <v>0</v>
      </c>
      <c r="D17" s="52"/>
      <c r="E17" s="54" t="s">
        <v>56</v>
      </c>
      <c r="F17" s="52" t="s">
        <v>45</v>
      </c>
      <c r="G17" s="52"/>
      <c r="H17" s="55" t="s">
        <v>46</v>
      </c>
      <c r="I17" s="55" t="s">
        <v>47</v>
      </c>
      <c r="J17" s="55" t="s">
        <v>57</v>
      </c>
      <c r="K17" s="55" t="s">
        <v>49</v>
      </c>
      <c r="L17" s="67"/>
      <c r="M17" s="68"/>
      <c r="N17" s="69"/>
      <c r="O17" s="57" t="s">
        <v>50</v>
      </c>
      <c r="P17" s="58">
        <v>180</v>
      </c>
      <c r="Q17" s="58"/>
      <c r="R17" s="58">
        <v>0</v>
      </c>
      <c r="S17" s="59">
        <v>44</v>
      </c>
      <c r="T17" s="58">
        <f>T16</f>
        <v>51.75</v>
      </c>
      <c r="U17" s="58">
        <f>U16</f>
        <v>84</v>
      </c>
      <c r="V17" s="58">
        <f>T17*U17*P17/1550</f>
        <v>504.81290322580645</v>
      </c>
      <c r="W17" s="58">
        <f t="shared" si="0"/>
        <v>22.211767741935486</v>
      </c>
      <c r="X17" s="61">
        <f t="shared" si="1"/>
        <v>15.144387096774192</v>
      </c>
      <c r="Y17" s="58">
        <f t="shared" si="16"/>
        <v>0.66635303225806441</v>
      </c>
      <c r="Z17" s="58">
        <f t="shared" si="17"/>
        <v>22.878120774193551</v>
      </c>
      <c r="AA17" s="58">
        <v>6.8</v>
      </c>
      <c r="AB17" s="58">
        <f t="shared" si="18"/>
        <v>3.535709574193548</v>
      </c>
      <c r="AC17" s="58">
        <f t="shared" si="5"/>
        <v>0.16666666666666666</v>
      </c>
      <c r="AD17" s="62">
        <v>0</v>
      </c>
      <c r="AE17" s="62">
        <v>0</v>
      </c>
      <c r="AF17" s="58">
        <f t="shared" si="6"/>
        <v>3.7023762408602146</v>
      </c>
      <c r="AG17" s="62">
        <v>0</v>
      </c>
      <c r="AH17" s="63">
        <f t="shared" si="7"/>
        <v>2.6580497015053766</v>
      </c>
      <c r="AI17" s="62">
        <v>0</v>
      </c>
      <c r="AJ17" s="64">
        <f t="shared" si="8"/>
        <v>29.238546716559142</v>
      </c>
      <c r="AK17" s="65"/>
    </row>
    <row r="18" spans="1:37" ht="15" customHeight="1" thickTop="1" thickBot="1" x14ac:dyDescent="0.4">
      <c r="A18" s="35">
        <v>5</v>
      </c>
      <c r="B18" s="36">
        <v>45932</v>
      </c>
      <c r="C18" s="35" t="s">
        <v>0</v>
      </c>
      <c r="D18" s="35"/>
      <c r="E18" s="51" t="s">
        <v>58</v>
      </c>
      <c r="F18" s="35" t="s">
        <v>45</v>
      </c>
      <c r="G18" s="35"/>
      <c r="H18" s="38" t="s">
        <v>46</v>
      </c>
      <c r="I18" s="38" t="s">
        <v>53</v>
      </c>
      <c r="J18" s="38" t="s">
        <v>57</v>
      </c>
      <c r="K18" s="38" t="s">
        <v>49</v>
      </c>
      <c r="L18" s="39">
        <v>100</v>
      </c>
      <c r="M18" s="40">
        <v>100</v>
      </c>
      <c r="N18" s="41">
        <v>100</v>
      </c>
      <c r="O18" s="42" t="s">
        <v>50</v>
      </c>
      <c r="P18" s="43">
        <v>230</v>
      </c>
      <c r="Q18" s="43"/>
      <c r="R18" s="43">
        <v>0</v>
      </c>
      <c r="S18" s="44">
        <v>44</v>
      </c>
      <c r="T18" s="45">
        <f>((M18/2)+N18+10)/25.4</f>
        <v>6.2992125984251972</v>
      </c>
      <c r="U18" s="45">
        <f>((L18+M18+L18+M18+55+55)/25.4)</f>
        <v>20.078740157480315</v>
      </c>
      <c r="V18" s="43">
        <f>T19*U19*P18/1550</f>
        <v>23.574999999999999</v>
      </c>
      <c r="W18" s="43">
        <f t="shared" si="0"/>
        <v>1.0372999999999999</v>
      </c>
      <c r="X18" s="46">
        <f t="shared" si="1"/>
        <v>0.70724999999999993</v>
      </c>
      <c r="Y18" s="43">
        <f>S18*X18/1000</f>
        <v>3.1118999999999997E-2</v>
      </c>
      <c r="Z18" s="43">
        <f>W18+Y18</f>
        <v>1.0684189999999998</v>
      </c>
      <c r="AA18" s="43">
        <v>6.8</v>
      </c>
      <c r="AB18" s="43">
        <f>(V18+X18)*AA18/1000</f>
        <v>0.16511929999999997</v>
      </c>
      <c r="AC18" s="43">
        <f t="shared" si="5"/>
        <v>0.16666666666666666</v>
      </c>
      <c r="AD18" s="47">
        <v>0</v>
      </c>
      <c r="AE18" s="47">
        <v>0</v>
      </c>
      <c r="AF18" s="43">
        <f t="shared" si="6"/>
        <v>0.3317859666666666</v>
      </c>
      <c r="AG18" s="47">
        <v>0</v>
      </c>
      <c r="AH18" s="48">
        <f t="shared" si="7"/>
        <v>0.14002049666666663</v>
      </c>
      <c r="AI18" s="47">
        <v>0</v>
      </c>
      <c r="AJ18" s="49">
        <f t="shared" si="8"/>
        <v>1.540225463333333</v>
      </c>
      <c r="AK18" s="50">
        <f t="shared" si="9"/>
        <v>4.589506426999999</v>
      </c>
    </row>
    <row r="19" spans="1:37" ht="15" customHeight="1" thickTop="1" thickBot="1" x14ac:dyDescent="0.4">
      <c r="A19" s="35">
        <v>5</v>
      </c>
      <c r="B19" s="36">
        <v>45932</v>
      </c>
      <c r="C19" s="35" t="s">
        <v>0</v>
      </c>
      <c r="D19" s="35"/>
      <c r="E19" s="51" t="s">
        <v>58</v>
      </c>
      <c r="F19" s="35" t="s">
        <v>45</v>
      </c>
      <c r="G19" s="35"/>
      <c r="H19" s="38" t="s">
        <v>46</v>
      </c>
      <c r="I19" s="38" t="s">
        <v>53</v>
      </c>
      <c r="J19" s="38" t="s">
        <v>57</v>
      </c>
      <c r="K19" s="38" t="s">
        <v>49</v>
      </c>
      <c r="L19" s="39"/>
      <c r="M19" s="40"/>
      <c r="N19" s="41"/>
      <c r="O19" s="42" t="s">
        <v>51</v>
      </c>
      <c r="P19" s="43">
        <v>180</v>
      </c>
      <c r="Q19" s="43"/>
      <c r="R19" s="43">
        <v>0</v>
      </c>
      <c r="S19" s="44">
        <v>38.5</v>
      </c>
      <c r="T19" s="43">
        <f>ROUNDUP($T18,0)+0.75</f>
        <v>7.75</v>
      </c>
      <c r="U19" s="43">
        <f>CEILING($U18,0.5)</f>
        <v>20.5</v>
      </c>
      <c r="V19" s="43">
        <f>T19*U19*(P19*1.4)/1550</f>
        <v>25.829999999999995</v>
      </c>
      <c r="W19" s="43">
        <f t="shared" si="0"/>
        <v>0.99445499999999987</v>
      </c>
      <c r="X19" s="46">
        <f t="shared" si="1"/>
        <v>0.77489999999999981</v>
      </c>
      <c r="Y19" s="43">
        <f t="shared" ref="Y19:Y20" si="19">S19*X19/1000</f>
        <v>2.9833649999999993E-2</v>
      </c>
      <c r="Z19" s="43">
        <f t="shared" ref="Z19:Z20" si="20">W19+Y19</f>
        <v>1.0242886499999999</v>
      </c>
      <c r="AA19" s="43">
        <v>6.8</v>
      </c>
      <c r="AB19" s="43">
        <f t="shared" ref="AB19:AB20" si="21">(V19+X19)*AA19/1000</f>
        <v>0.18091331999999993</v>
      </c>
      <c r="AC19" s="43">
        <f t="shared" si="5"/>
        <v>0.16666666666666666</v>
      </c>
      <c r="AD19" s="47">
        <v>0</v>
      </c>
      <c r="AE19" s="47">
        <v>0</v>
      </c>
      <c r="AF19" s="43">
        <f t="shared" si="6"/>
        <v>0.34757998666666656</v>
      </c>
      <c r="AG19" s="47">
        <v>0</v>
      </c>
      <c r="AH19" s="48">
        <f t="shared" si="7"/>
        <v>0.13718686366666666</v>
      </c>
      <c r="AI19" s="47">
        <v>0</v>
      </c>
      <c r="AJ19" s="49">
        <f t="shared" si="8"/>
        <v>1.5090555003333332</v>
      </c>
      <c r="AK19" s="50"/>
    </row>
    <row r="20" spans="1:37" ht="15" customHeight="1" thickTop="1" thickBot="1" x14ac:dyDescent="0.4">
      <c r="A20" s="35">
        <v>5</v>
      </c>
      <c r="B20" s="36">
        <v>45932</v>
      </c>
      <c r="C20" s="35" t="s">
        <v>0</v>
      </c>
      <c r="D20" s="35"/>
      <c r="E20" s="51" t="s">
        <v>58</v>
      </c>
      <c r="F20" s="35" t="s">
        <v>45</v>
      </c>
      <c r="G20" s="35"/>
      <c r="H20" s="38" t="s">
        <v>46</v>
      </c>
      <c r="I20" s="38" t="s">
        <v>53</v>
      </c>
      <c r="J20" s="38" t="s">
        <v>57</v>
      </c>
      <c r="K20" s="38" t="s">
        <v>49</v>
      </c>
      <c r="L20" s="39"/>
      <c r="M20" s="40"/>
      <c r="N20" s="41"/>
      <c r="O20" s="42" t="s">
        <v>50</v>
      </c>
      <c r="P20" s="43">
        <v>230</v>
      </c>
      <c r="Q20" s="43"/>
      <c r="R20" s="43">
        <v>0</v>
      </c>
      <c r="S20" s="44">
        <v>44</v>
      </c>
      <c r="T20" s="43">
        <f>T19</f>
        <v>7.75</v>
      </c>
      <c r="U20" s="43">
        <f>U19</f>
        <v>20.5</v>
      </c>
      <c r="V20" s="43">
        <f>T20*U20*P20/1550</f>
        <v>23.574999999999999</v>
      </c>
      <c r="W20" s="43">
        <f t="shared" si="0"/>
        <v>1.0372999999999999</v>
      </c>
      <c r="X20" s="46">
        <f t="shared" si="1"/>
        <v>0.70724999999999993</v>
      </c>
      <c r="Y20" s="43">
        <f t="shared" si="19"/>
        <v>3.1118999999999997E-2</v>
      </c>
      <c r="Z20" s="43">
        <f t="shared" si="20"/>
        <v>1.0684189999999998</v>
      </c>
      <c r="AA20" s="43">
        <v>6.8</v>
      </c>
      <c r="AB20" s="43">
        <f t="shared" si="21"/>
        <v>0.16511929999999997</v>
      </c>
      <c r="AC20" s="43">
        <f t="shared" si="5"/>
        <v>0.16666666666666666</v>
      </c>
      <c r="AD20" s="47">
        <v>0</v>
      </c>
      <c r="AE20" s="47">
        <v>0</v>
      </c>
      <c r="AF20" s="43">
        <f t="shared" si="6"/>
        <v>0.3317859666666666</v>
      </c>
      <c r="AG20" s="47">
        <v>0</v>
      </c>
      <c r="AH20" s="48">
        <f t="shared" si="7"/>
        <v>0.14002049666666663</v>
      </c>
      <c r="AI20" s="47">
        <v>0</v>
      </c>
      <c r="AJ20" s="49">
        <f t="shared" si="8"/>
        <v>1.540225463333333</v>
      </c>
      <c r="AK20" s="50"/>
    </row>
    <row r="21" spans="1:37" ht="15" customHeight="1" thickTop="1" thickBot="1" x14ac:dyDescent="0.4">
      <c r="A21" s="35">
        <v>6</v>
      </c>
      <c r="B21" s="36">
        <v>45932</v>
      </c>
      <c r="C21" s="35" t="s">
        <v>0</v>
      </c>
      <c r="D21" s="35"/>
      <c r="E21" s="51" t="s">
        <v>59</v>
      </c>
      <c r="F21" s="35" t="s">
        <v>45</v>
      </c>
      <c r="G21" s="35"/>
      <c r="H21" s="38" t="s">
        <v>55</v>
      </c>
      <c r="I21" s="38" t="s">
        <v>53</v>
      </c>
      <c r="J21" s="38" t="s">
        <v>57</v>
      </c>
      <c r="K21" s="38" t="s">
        <v>49</v>
      </c>
      <c r="L21" s="39">
        <v>100</v>
      </c>
      <c r="M21" s="40">
        <v>100</v>
      </c>
      <c r="N21" s="41">
        <v>100</v>
      </c>
      <c r="O21" s="42" t="s">
        <v>50</v>
      </c>
      <c r="P21" s="43">
        <v>230</v>
      </c>
      <c r="Q21" s="43"/>
      <c r="R21" s="43">
        <v>0</v>
      </c>
      <c r="S21" s="44">
        <v>44</v>
      </c>
      <c r="T21" s="45">
        <f>((M21/2)+N21+10)/25.4</f>
        <v>6.2992125984251972</v>
      </c>
      <c r="U21" s="45">
        <f>((L21+M21+L21+M21+55+55)/25.4)</f>
        <v>20.078740157480315</v>
      </c>
      <c r="V21" s="43">
        <f>T22*U22*P21/1550</f>
        <v>23.574999999999999</v>
      </c>
      <c r="W21" s="43">
        <f t="shared" si="0"/>
        <v>1.0372999999999999</v>
      </c>
      <c r="X21" s="46">
        <f t="shared" si="1"/>
        <v>0.70724999999999993</v>
      </c>
      <c r="Y21" s="43">
        <f>S21*X21/1000</f>
        <v>3.1118999999999997E-2</v>
      </c>
      <c r="Z21" s="43">
        <f>W21+Y21</f>
        <v>1.0684189999999998</v>
      </c>
      <c r="AA21" s="43">
        <v>6.8</v>
      </c>
      <c r="AB21" s="43">
        <f>(V21+X21)*AA21/1000</f>
        <v>0.16511929999999997</v>
      </c>
      <c r="AC21" s="43">
        <f t="shared" si="5"/>
        <v>0.16666666666666666</v>
      </c>
      <c r="AD21" s="47">
        <v>0</v>
      </c>
      <c r="AE21" s="47">
        <v>0</v>
      </c>
      <c r="AF21" s="43">
        <f t="shared" si="6"/>
        <v>0.3317859666666666</v>
      </c>
      <c r="AG21" s="47">
        <v>0</v>
      </c>
      <c r="AH21" s="48">
        <f t="shared" si="7"/>
        <v>0.14002049666666663</v>
      </c>
      <c r="AI21" s="47">
        <v>0</v>
      </c>
      <c r="AJ21" s="49">
        <f t="shared" si="8"/>
        <v>1.540225463333333</v>
      </c>
      <c r="AK21" s="50">
        <f t="shared" si="9"/>
        <v>7.2721207239999988</v>
      </c>
    </row>
    <row r="22" spans="1:37" ht="15" customHeight="1" thickTop="1" thickBot="1" x14ac:dyDescent="0.4">
      <c r="A22" s="35">
        <v>6</v>
      </c>
      <c r="B22" s="36">
        <v>45932</v>
      </c>
      <c r="C22" s="35" t="s">
        <v>0</v>
      </c>
      <c r="D22" s="35"/>
      <c r="E22" s="51" t="s">
        <v>59</v>
      </c>
      <c r="F22" s="35" t="s">
        <v>45</v>
      </c>
      <c r="G22" s="35"/>
      <c r="H22" s="38" t="s">
        <v>55</v>
      </c>
      <c r="I22" s="38" t="s">
        <v>53</v>
      </c>
      <c r="J22" s="38" t="s">
        <v>57</v>
      </c>
      <c r="K22" s="38" t="s">
        <v>49</v>
      </c>
      <c r="L22" s="39"/>
      <c r="M22" s="40"/>
      <c r="N22" s="41"/>
      <c r="O22" s="42" t="s">
        <v>51</v>
      </c>
      <c r="P22" s="43">
        <v>180</v>
      </c>
      <c r="Q22" s="43"/>
      <c r="R22" s="43">
        <v>0</v>
      </c>
      <c r="S22" s="44">
        <v>38.5</v>
      </c>
      <c r="T22" s="43">
        <f>ROUNDUP($T21,0)+0.75</f>
        <v>7.75</v>
      </c>
      <c r="U22" s="43">
        <f>CEILING($U21,0.5)</f>
        <v>20.5</v>
      </c>
      <c r="V22" s="43">
        <f>T22*U22*(P22*1.4)*2/1550</f>
        <v>51.659999999999989</v>
      </c>
      <c r="W22" s="43">
        <f t="shared" si="0"/>
        <v>1.9889099999999997</v>
      </c>
      <c r="X22" s="46">
        <f t="shared" si="1"/>
        <v>1.5497999999999996</v>
      </c>
      <c r="Y22" s="43">
        <f t="shared" ref="Y22:Y23" si="22">S22*X22/1000</f>
        <v>5.9667299999999986E-2</v>
      </c>
      <c r="Z22" s="43">
        <f t="shared" ref="Z22:Z23" si="23">W22+Y22</f>
        <v>2.0485772999999998</v>
      </c>
      <c r="AA22" s="43">
        <v>6.8</v>
      </c>
      <c r="AB22" s="43">
        <f t="shared" ref="AB22:AB23" si="24">(V22+X22)*AA22/1000</f>
        <v>0.36182663999999987</v>
      </c>
      <c r="AC22" s="43">
        <f t="shared" si="5"/>
        <v>0.16666666666666666</v>
      </c>
      <c r="AD22" s="47">
        <v>0</v>
      </c>
      <c r="AE22" s="47">
        <v>0</v>
      </c>
      <c r="AF22" s="43">
        <f t="shared" si="6"/>
        <v>0.5284933066666665</v>
      </c>
      <c r="AG22" s="47">
        <v>0</v>
      </c>
      <c r="AH22" s="48">
        <f t="shared" si="7"/>
        <v>0.25770706066666665</v>
      </c>
      <c r="AI22" s="47">
        <v>0</v>
      </c>
      <c r="AJ22" s="49">
        <f t="shared" si="8"/>
        <v>2.8347776673333329</v>
      </c>
      <c r="AK22" s="50"/>
    </row>
    <row r="23" spans="1:37" ht="15" customHeight="1" thickTop="1" thickBot="1" x14ac:dyDescent="0.4">
      <c r="A23" s="35">
        <v>6</v>
      </c>
      <c r="B23" s="36">
        <v>45932</v>
      </c>
      <c r="C23" s="35" t="s">
        <v>0</v>
      </c>
      <c r="D23" s="35"/>
      <c r="E23" s="51" t="s">
        <v>59</v>
      </c>
      <c r="F23" s="35" t="s">
        <v>45</v>
      </c>
      <c r="G23" s="35"/>
      <c r="H23" s="38" t="s">
        <v>55</v>
      </c>
      <c r="I23" s="38" t="s">
        <v>53</v>
      </c>
      <c r="J23" s="38" t="s">
        <v>57</v>
      </c>
      <c r="K23" s="38" t="s">
        <v>49</v>
      </c>
      <c r="L23" s="39"/>
      <c r="M23" s="40"/>
      <c r="N23" s="41"/>
      <c r="O23" s="42" t="s">
        <v>50</v>
      </c>
      <c r="P23" s="43">
        <v>230</v>
      </c>
      <c r="Q23" s="43"/>
      <c r="R23" s="43">
        <v>0</v>
      </c>
      <c r="S23" s="44">
        <v>44</v>
      </c>
      <c r="T23" s="43">
        <f>T22</f>
        <v>7.75</v>
      </c>
      <c r="U23" s="43">
        <f>U22</f>
        <v>20.5</v>
      </c>
      <c r="V23" s="43">
        <f>T23*U23*P23*2/1550</f>
        <v>47.15</v>
      </c>
      <c r="W23" s="43">
        <f t="shared" si="0"/>
        <v>2.0745999999999998</v>
      </c>
      <c r="X23" s="46">
        <f t="shared" si="1"/>
        <v>1.4144999999999999</v>
      </c>
      <c r="Y23" s="43">
        <f t="shared" si="22"/>
        <v>6.2237999999999995E-2</v>
      </c>
      <c r="Z23" s="43">
        <f t="shared" si="23"/>
        <v>2.1368379999999996</v>
      </c>
      <c r="AA23" s="43">
        <v>6.8</v>
      </c>
      <c r="AB23" s="43">
        <f t="shared" si="24"/>
        <v>0.33023859999999994</v>
      </c>
      <c r="AC23" s="43">
        <f t="shared" si="5"/>
        <v>0.16666666666666666</v>
      </c>
      <c r="AD23" s="47">
        <v>0</v>
      </c>
      <c r="AE23" s="47">
        <v>0</v>
      </c>
      <c r="AF23" s="43">
        <f t="shared" si="6"/>
        <v>0.49690526666666657</v>
      </c>
      <c r="AG23" s="47">
        <v>0</v>
      </c>
      <c r="AH23" s="48">
        <f t="shared" si="7"/>
        <v>0.2633743266666666</v>
      </c>
      <c r="AI23" s="47">
        <v>0</v>
      </c>
      <c r="AJ23" s="49">
        <f t="shared" si="8"/>
        <v>2.8971175933333324</v>
      </c>
      <c r="AK23" s="50"/>
    </row>
    <row r="24" spans="1:37" ht="15" customHeight="1" thickTop="1" thickBot="1" x14ac:dyDescent="0.4">
      <c r="A24" s="35">
        <v>7</v>
      </c>
      <c r="B24" s="36">
        <v>45932</v>
      </c>
      <c r="C24" s="35" t="s">
        <v>0</v>
      </c>
      <c r="D24" s="70"/>
      <c r="E24" s="37" t="s">
        <v>60</v>
      </c>
      <c r="F24" s="70" t="s">
        <v>61</v>
      </c>
      <c r="G24" s="70" t="s">
        <v>62</v>
      </c>
      <c r="H24" s="70"/>
      <c r="I24" s="70"/>
      <c r="J24" s="70"/>
      <c r="K24" s="70"/>
      <c r="L24" s="39">
        <v>100</v>
      </c>
      <c r="M24" s="40">
        <v>100</v>
      </c>
      <c r="N24" s="41">
        <v>100</v>
      </c>
      <c r="O24" s="42" t="s">
        <v>50</v>
      </c>
      <c r="P24" s="43">
        <v>230</v>
      </c>
      <c r="Q24" s="43"/>
      <c r="R24" s="43">
        <v>0</v>
      </c>
      <c r="S24" s="44"/>
      <c r="T24" s="45"/>
      <c r="U24" s="45"/>
      <c r="V24" s="43"/>
      <c r="W24" s="43"/>
      <c r="X24" s="46"/>
      <c r="Y24" s="43"/>
      <c r="Z24" s="43"/>
      <c r="AA24" s="43"/>
      <c r="AB24" s="43"/>
      <c r="AC24" s="43"/>
      <c r="AD24" s="47"/>
      <c r="AE24" s="47"/>
      <c r="AF24" s="43"/>
      <c r="AG24" s="47"/>
      <c r="AH24" s="48"/>
      <c r="AI24" s="47"/>
      <c r="AJ24" s="49"/>
      <c r="AK24" s="71"/>
    </row>
    <row r="25" spans="1:37" ht="15" customHeight="1" thickTop="1" thickBot="1" x14ac:dyDescent="0.4">
      <c r="A25" s="35">
        <v>7</v>
      </c>
      <c r="B25" s="36">
        <v>45932</v>
      </c>
      <c r="C25" s="35" t="s">
        <v>0</v>
      </c>
      <c r="D25" s="70"/>
      <c r="E25" s="37" t="s">
        <v>60</v>
      </c>
      <c r="F25" s="70" t="s">
        <v>61</v>
      </c>
      <c r="G25" s="70" t="s">
        <v>62</v>
      </c>
      <c r="H25" s="70"/>
      <c r="I25" s="70"/>
      <c r="J25" s="70"/>
      <c r="K25" s="70"/>
      <c r="L25" s="39"/>
      <c r="M25" s="40"/>
      <c r="N25" s="41"/>
      <c r="O25" s="42" t="s">
        <v>51</v>
      </c>
      <c r="P25" s="43">
        <v>150</v>
      </c>
      <c r="Q25" s="43"/>
      <c r="R25" s="43">
        <v>0</v>
      </c>
      <c r="S25" s="44"/>
      <c r="T25" s="43"/>
      <c r="U25" s="43"/>
      <c r="V25" s="43"/>
      <c r="W25" s="43"/>
      <c r="X25" s="46"/>
      <c r="Y25" s="43"/>
      <c r="Z25" s="43"/>
      <c r="AA25" s="43"/>
      <c r="AB25" s="43"/>
      <c r="AC25" s="43"/>
      <c r="AD25" s="47"/>
      <c r="AE25" s="47"/>
      <c r="AF25" s="43"/>
      <c r="AG25" s="47"/>
      <c r="AH25" s="48"/>
      <c r="AI25" s="47"/>
      <c r="AJ25" s="49"/>
      <c r="AK25" s="71"/>
    </row>
    <row r="26" spans="1:37" ht="15" customHeight="1" thickTop="1" thickBot="1" x14ac:dyDescent="0.4">
      <c r="A26" s="35">
        <v>7</v>
      </c>
      <c r="B26" s="36">
        <v>45932</v>
      </c>
      <c r="C26" s="35" t="s">
        <v>0</v>
      </c>
      <c r="D26" s="70"/>
      <c r="E26" s="37" t="s">
        <v>60</v>
      </c>
      <c r="F26" s="70" t="s">
        <v>61</v>
      </c>
      <c r="G26" s="70" t="s">
        <v>62</v>
      </c>
      <c r="H26" s="70"/>
      <c r="I26" s="70"/>
      <c r="J26" s="70"/>
      <c r="K26" s="70"/>
      <c r="L26" s="39"/>
      <c r="M26" s="40"/>
      <c r="N26" s="41"/>
      <c r="O26" s="42" t="s">
        <v>50</v>
      </c>
      <c r="P26" s="43">
        <v>180</v>
      </c>
      <c r="Q26" s="43"/>
      <c r="R26" s="43">
        <v>0</v>
      </c>
      <c r="S26" s="44"/>
      <c r="T26" s="43"/>
      <c r="U26" s="43"/>
      <c r="V26" s="43"/>
      <c r="W26" s="43"/>
      <c r="X26" s="46"/>
      <c r="Y26" s="43"/>
      <c r="Z26" s="43"/>
      <c r="AA26" s="43"/>
      <c r="AB26" s="43"/>
      <c r="AC26" s="43"/>
      <c r="AD26" s="47"/>
      <c r="AE26" s="47"/>
      <c r="AF26" s="43"/>
      <c r="AG26" s="47"/>
      <c r="AH26" s="48"/>
      <c r="AI26" s="47"/>
      <c r="AJ26" s="49"/>
      <c r="AK26" s="71"/>
    </row>
    <row r="27" spans="1:37" ht="15" customHeight="1" thickTop="1" thickBot="1" x14ac:dyDescent="0.4">
      <c r="A27" s="35">
        <v>8</v>
      </c>
      <c r="B27" s="36">
        <v>45932</v>
      </c>
      <c r="C27" s="35" t="s">
        <v>0</v>
      </c>
      <c r="D27" s="35"/>
      <c r="E27" s="37" t="s">
        <v>63</v>
      </c>
      <c r="F27" s="35" t="s">
        <v>45</v>
      </c>
      <c r="G27" s="35"/>
      <c r="H27" s="38" t="s">
        <v>55</v>
      </c>
      <c r="I27" s="38" t="s">
        <v>47</v>
      </c>
      <c r="J27" s="38" t="s">
        <v>48</v>
      </c>
      <c r="K27" s="38" t="s">
        <v>49</v>
      </c>
      <c r="L27" s="39">
        <v>100</v>
      </c>
      <c r="M27" s="40">
        <v>100</v>
      </c>
      <c r="N27" s="41">
        <v>100</v>
      </c>
      <c r="O27" s="42" t="s">
        <v>50</v>
      </c>
      <c r="P27" s="43">
        <v>230</v>
      </c>
      <c r="Q27" s="43"/>
      <c r="R27" s="43">
        <v>0</v>
      </c>
      <c r="S27" s="44">
        <v>44</v>
      </c>
      <c r="T27" s="45">
        <f>(M27+N27+10)/25.4</f>
        <v>8.2677165354330722</v>
      </c>
      <c r="U27" s="45">
        <f>((L27+M27+L27+M27+55)/25.4)</f>
        <v>17.913385826771655</v>
      </c>
      <c r="V27" s="43">
        <f>T28*U28*P27/1550</f>
        <v>26.041935483870969</v>
      </c>
      <c r="W27" s="43">
        <f t="shared" si="0"/>
        <v>1.1458451612903227</v>
      </c>
      <c r="X27" s="46">
        <f t="shared" si="1"/>
        <v>0.781258064516129</v>
      </c>
      <c r="Y27" s="43">
        <f>S27*X27/1000</f>
        <v>3.4375354838709675E-2</v>
      </c>
      <c r="Z27" s="43">
        <f>W27+Y27</f>
        <v>1.1802205161290322</v>
      </c>
      <c r="AA27" s="43">
        <v>6.8</v>
      </c>
      <c r="AB27" s="43">
        <f>(V27+X27)*AA27/1000</f>
        <v>0.18239771612903227</v>
      </c>
      <c r="AC27" s="43">
        <f t="shared" si="5"/>
        <v>0.16666666666666666</v>
      </c>
      <c r="AD27" s="47">
        <v>0</v>
      </c>
      <c r="AE27" s="47">
        <v>0</v>
      </c>
      <c r="AF27" s="43">
        <f t="shared" si="6"/>
        <v>0.34906438279569896</v>
      </c>
      <c r="AG27" s="47">
        <v>0</v>
      </c>
      <c r="AH27" s="48">
        <f t="shared" si="7"/>
        <v>0.15292848989247312</v>
      </c>
      <c r="AI27" s="47">
        <v>0</v>
      </c>
      <c r="AJ27" s="49">
        <f t="shared" si="8"/>
        <v>1.6822133888172044</v>
      </c>
      <c r="AK27" s="50">
        <f t="shared" si="9"/>
        <v>6.8357005270967743</v>
      </c>
    </row>
    <row r="28" spans="1:37" ht="15" customHeight="1" thickTop="1" thickBot="1" x14ac:dyDescent="0.4">
      <c r="A28" s="35">
        <v>8</v>
      </c>
      <c r="B28" s="36">
        <v>45932</v>
      </c>
      <c r="C28" s="35" t="s">
        <v>0</v>
      </c>
      <c r="D28" s="35"/>
      <c r="E28" s="37" t="s">
        <v>63</v>
      </c>
      <c r="F28" s="35" t="s">
        <v>45</v>
      </c>
      <c r="G28" s="35"/>
      <c r="H28" s="38" t="s">
        <v>55</v>
      </c>
      <c r="I28" s="38" t="s">
        <v>47</v>
      </c>
      <c r="J28" s="38" t="s">
        <v>48</v>
      </c>
      <c r="K28" s="38" t="s">
        <v>49</v>
      </c>
      <c r="L28" s="39"/>
      <c r="M28" s="40"/>
      <c r="N28" s="41"/>
      <c r="O28" s="42" t="s">
        <v>51</v>
      </c>
      <c r="P28" s="43">
        <v>150</v>
      </c>
      <c r="Q28" s="43"/>
      <c r="R28" s="43">
        <v>0</v>
      </c>
      <c r="S28" s="44">
        <v>38.5</v>
      </c>
      <c r="T28" s="43">
        <f>ROUNDUP($T27,0)+0.75</f>
        <v>9.75</v>
      </c>
      <c r="U28" s="43">
        <f>CEILING($U27,0.5)</f>
        <v>18</v>
      </c>
      <c r="V28" s="43">
        <f>T28*U28*(P28*1.4)*2/1550</f>
        <v>47.554838709677419</v>
      </c>
      <c r="W28" s="43">
        <f t="shared" si="0"/>
        <v>1.8308612903225805</v>
      </c>
      <c r="X28" s="46">
        <f t="shared" si="1"/>
        <v>1.4266451612903226</v>
      </c>
      <c r="Y28" s="43">
        <f t="shared" ref="Y28:Y29" si="25">S28*X28/1000</f>
        <v>5.4925838709677419E-2</v>
      </c>
      <c r="Z28" s="43">
        <f t="shared" ref="Z28:Z29" si="26">W28+Y28</f>
        <v>1.8857871290322579</v>
      </c>
      <c r="AA28" s="43">
        <v>6.8</v>
      </c>
      <c r="AB28" s="43">
        <f t="shared" ref="AB28:AB29" si="27">(V28+X28)*AA28/1000</f>
        <v>0.33307409032258062</v>
      </c>
      <c r="AC28" s="43">
        <f t="shared" si="5"/>
        <v>0.16666666666666666</v>
      </c>
      <c r="AD28" s="47">
        <v>0</v>
      </c>
      <c r="AE28" s="47">
        <v>0</v>
      </c>
      <c r="AF28" s="43">
        <f t="shared" si="6"/>
        <v>0.49974075698924725</v>
      </c>
      <c r="AG28" s="47">
        <v>0</v>
      </c>
      <c r="AH28" s="48">
        <f t="shared" si="7"/>
        <v>0.23855278860215054</v>
      </c>
      <c r="AI28" s="47">
        <v>0</v>
      </c>
      <c r="AJ28" s="49">
        <f t="shared" si="8"/>
        <v>2.6240806746236558</v>
      </c>
      <c r="AK28" s="50"/>
    </row>
    <row r="29" spans="1:37" ht="15" customHeight="1" thickTop="1" thickBot="1" x14ac:dyDescent="0.4">
      <c r="A29" s="35">
        <v>8</v>
      </c>
      <c r="B29" s="36">
        <v>45932</v>
      </c>
      <c r="C29" s="35" t="s">
        <v>0</v>
      </c>
      <c r="D29" s="35"/>
      <c r="E29" s="37" t="s">
        <v>63</v>
      </c>
      <c r="F29" s="35" t="s">
        <v>45</v>
      </c>
      <c r="G29" s="35"/>
      <c r="H29" s="38" t="s">
        <v>55</v>
      </c>
      <c r="I29" s="38" t="s">
        <v>47</v>
      </c>
      <c r="J29" s="38" t="s">
        <v>48</v>
      </c>
      <c r="K29" s="38" t="s">
        <v>49</v>
      </c>
      <c r="L29" s="39"/>
      <c r="M29" s="40"/>
      <c r="N29" s="41"/>
      <c r="O29" s="42" t="s">
        <v>50</v>
      </c>
      <c r="P29" s="43">
        <v>180</v>
      </c>
      <c r="Q29" s="43"/>
      <c r="R29" s="43">
        <v>0</v>
      </c>
      <c r="S29" s="44">
        <v>44</v>
      </c>
      <c r="T29" s="43">
        <f>T28</f>
        <v>9.75</v>
      </c>
      <c r="U29" s="43">
        <f>U28</f>
        <v>18</v>
      </c>
      <c r="V29" s="43">
        <f>T29*U29*P29*2/1550</f>
        <v>40.761290322580642</v>
      </c>
      <c r="W29" s="43">
        <f t="shared" si="0"/>
        <v>1.7934967741935481</v>
      </c>
      <c r="X29" s="46">
        <f t="shared" si="1"/>
        <v>1.2228387096774191</v>
      </c>
      <c r="Y29" s="43">
        <f t="shared" si="25"/>
        <v>5.3804903225806444E-2</v>
      </c>
      <c r="Z29" s="43">
        <f t="shared" si="26"/>
        <v>1.8473016774193547</v>
      </c>
      <c r="AA29" s="43">
        <v>6.8</v>
      </c>
      <c r="AB29" s="43">
        <f t="shared" si="27"/>
        <v>0.28549207741935484</v>
      </c>
      <c r="AC29" s="43">
        <f t="shared" si="5"/>
        <v>0.16666666666666666</v>
      </c>
      <c r="AD29" s="47">
        <v>0</v>
      </c>
      <c r="AE29" s="47">
        <v>0</v>
      </c>
      <c r="AF29" s="43">
        <f t="shared" si="6"/>
        <v>0.45215874408602152</v>
      </c>
      <c r="AG29" s="47">
        <v>0</v>
      </c>
      <c r="AH29" s="48">
        <f t="shared" si="7"/>
        <v>0.22994604215053763</v>
      </c>
      <c r="AI29" s="47">
        <v>0</v>
      </c>
      <c r="AJ29" s="49">
        <f t="shared" si="8"/>
        <v>2.5294064636559139</v>
      </c>
      <c r="AK29" s="50"/>
    </row>
    <row r="30" spans="1:37" ht="15" customHeight="1" thickTop="1" thickBot="1" x14ac:dyDescent="0.4">
      <c r="A30" s="35">
        <v>9</v>
      </c>
      <c r="B30" s="36">
        <v>45932</v>
      </c>
      <c r="C30" s="35" t="s">
        <v>0</v>
      </c>
      <c r="D30" s="35"/>
      <c r="E30" s="37" t="s">
        <v>64</v>
      </c>
      <c r="F30" s="35" t="s">
        <v>45</v>
      </c>
      <c r="G30" s="35"/>
      <c r="H30" s="38" t="s">
        <v>55</v>
      </c>
      <c r="I30" s="38" t="s">
        <v>47</v>
      </c>
      <c r="J30" s="38" t="s">
        <v>57</v>
      </c>
      <c r="K30" s="38" t="s">
        <v>49</v>
      </c>
      <c r="L30" s="39">
        <v>100</v>
      </c>
      <c r="M30" s="40">
        <v>100</v>
      </c>
      <c r="N30" s="41">
        <v>100</v>
      </c>
      <c r="O30" s="42" t="s">
        <v>50</v>
      </c>
      <c r="P30" s="43">
        <v>230</v>
      </c>
      <c r="Q30" s="43"/>
      <c r="R30" s="43">
        <v>0</v>
      </c>
      <c r="S30" s="44">
        <v>44</v>
      </c>
      <c r="T30" s="45">
        <f>(M30+N30+10)/25.4</f>
        <v>8.2677165354330722</v>
      </c>
      <c r="U30" s="45">
        <f>((L30+M30+L30+M30+55+55)/25.4)</f>
        <v>20.078740157480315</v>
      </c>
      <c r="V30" s="43">
        <f>T31*U31*P30/1550</f>
        <v>29.658870967741937</v>
      </c>
      <c r="W30" s="43">
        <f t="shared" si="0"/>
        <v>1.3049903225806452</v>
      </c>
      <c r="X30" s="46">
        <f t="shared" si="1"/>
        <v>0.88976612903225805</v>
      </c>
      <c r="Y30" s="43">
        <f>S30*X30/1000</f>
        <v>3.9149709677419355E-2</v>
      </c>
      <c r="Z30" s="43">
        <f>W30+Y30</f>
        <v>1.3441400322580646</v>
      </c>
      <c r="AA30" s="43">
        <v>6.8</v>
      </c>
      <c r="AB30" s="43">
        <f>(V30+X30)*AA30/1000</f>
        <v>0.20773073225806452</v>
      </c>
      <c r="AC30" s="43">
        <f t="shared" si="5"/>
        <v>0.16666666666666666</v>
      </c>
      <c r="AD30" s="47">
        <v>0</v>
      </c>
      <c r="AE30" s="47">
        <v>0</v>
      </c>
      <c r="AF30" s="43">
        <f t="shared" si="6"/>
        <v>0.37439739892473117</v>
      </c>
      <c r="AG30" s="47">
        <v>0</v>
      </c>
      <c r="AH30" s="48">
        <f t="shared" si="7"/>
        <v>0.17185374311827958</v>
      </c>
      <c r="AI30" s="47">
        <v>0</v>
      </c>
      <c r="AJ30" s="49">
        <f t="shared" si="8"/>
        <v>1.8903911743010753</v>
      </c>
      <c r="AK30" s="50">
        <f t="shared" si="9"/>
        <v>7.7087144891935493</v>
      </c>
    </row>
    <row r="31" spans="1:37" ht="15" customHeight="1" thickTop="1" thickBot="1" x14ac:dyDescent="0.4">
      <c r="A31" s="35">
        <v>9</v>
      </c>
      <c r="B31" s="36">
        <v>45932</v>
      </c>
      <c r="C31" s="35" t="s">
        <v>0</v>
      </c>
      <c r="D31" s="35"/>
      <c r="E31" s="37" t="s">
        <v>64</v>
      </c>
      <c r="F31" s="35" t="s">
        <v>45</v>
      </c>
      <c r="G31" s="35"/>
      <c r="H31" s="38" t="s">
        <v>55</v>
      </c>
      <c r="I31" s="38" t="s">
        <v>47</v>
      </c>
      <c r="J31" s="38" t="s">
        <v>57</v>
      </c>
      <c r="K31" s="38" t="s">
        <v>49</v>
      </c>
      <c r="L31" s="39"/>
      <c r="M31" s="40"/>
      <c r="N31" s="41"/>
      <c r="O31" s="42" t="s">
        <v>51</v>
      </c>
      <c r="P31" s="43">
        <v>150</v>
      </c>
      <c r="Q31" s="43"/>
      <c r="R31" s="43">
        <v>0</v>
      </c>
      <c r="S31" s="44">
        <v>38.5</v>
      </c>
      <c r="T31" s="43">
        <f>ROUNDUP($T30,0)+0.75</f>
        <v>9.75</v>
      </c>
      <c r="U31" s="43">
        <f>CEILING($U30,0.5)</f>
        <v>20.5</v>
      </c>
      <c r="V31" s="43">
        <f>T31*U31*(P31*1.4)*2/1550</f>
        <v>54.159677419354836</v>
      </c>
      <c r="W31" s="43">
        <f t="shared" si="0"/>
        <v>2.0851475806451614</v>
      </c>
      <c r="X31" s="46">
        <f t="shared" si="1"/>
        <v>1.624790322580645</v>
      </c>
      <c r="Y31" s="43">
        <f t="shared" ref="Y31:Y32" si="28">S31*X31/1000</f>
        <v>6.2554427419354838E-2</v>
      </c>
      <c r="Z31" s="43">
        <f t="shared" ref="Z31:Z32" si="29">W31+Y31</f>
        <v>2.1477020080645164</v>
      </c>
      <c r="AA31" s="43">
        <v>6.8</v>
      </c>
      <c r="AB31" s="43">
        <f t="shared" ref="AB31:AB32" si="30">(V31+X31)*AA31/1000</f>
        <v>0.37933438064516128</v>
      </c>
      <c r="AC31" s="43">
        <f t="shared" si="5"/>
        <v>0.16666666666666666</v>
      </c>
      <c r="AD31" s="47">
        <v>0</v>
      </c>
      <c r="AE31" s="47">
        <v>0</v>
      </c>
      <c r="AF31" s="43">
        <f t="shared" si="6"/>
        <v>0.54600104731182797</v>
      </c>
      <c r="AG31" s="47">
        <v>0</v>
      </c>
      <c r="AH31" s="48">
        <f t="shared" si="7"/>
        <v>0.26937030553763447</v>
      </c>
      <c r="AI31" s="47">
        <v>0</v>
      </c>
      <c r="AJ31" s="49">
        <f t="shared" si="8"/>
        <v>2.9630733609139792</v>
      </c>
      <c r="AK31" s="50"/>
    </row>
    <row r="32" spans="1:37" ht="15" customHeight="1" thickTop="1" thickBot="1" x14ac:dyDescent="0.4">
      <c r="A32" s="35">
        <v>9</v>
      </c>
      <c r="B32" s="36">
        <v>45932</v>
      </c>
      <c r="C32" s="35" t="s">
        <v>0</v>
      </c>
      <c r="D32" s="35"/>
      <c r="E32" s="37" t="s">
        <v>64</v>
      </c>
      <c r="F32" s="35" t="s">
        <v>45</v>
      </c>
      <c r="G32" s="35"/>
      <c r="H32" s="38" t="s">
        <v>55</v>
      </c>
      <c r="I32" s="38" t="s">
        <v>47</v>
      </c>
      <c r="J32" s="38" t="s">
        <v>57</v>
      </c>
      <c r="K32" s="38" t="s">
        <v>49</v>
      </c>
      <c r="L32" s="39"/>
      <c r="M32" s="40"/>
      <c r="N32" s="41"/>
      <c r="O32" s="42" t="s">
        <v>50</v>
      </c>
      <c r="P32" s="43">
        <v>180</v>
      </c>
      <c r="Q32" s="43"/>
      <c r="R32" s="43">
        <v>0</v>
      </c>
      <c r="S32" s="44">
        <v>44</v>
      </c>
      <c r="T32" s="43">
        <f>T31</f>
        <v>9.75</v>
      </c>
      <c r="U32" s="43">
        <f>U31</f>
        <v>20.5</v>
      </c>
      <c r="V32" s="43">
        <f>T32*U32*P32*2/1550</f>
        <v>46.42258064516129</v>
      </c>
      <c r="W32" s="43">
        <f t="shared" si="0"/>
        <v>2.0425935483870967</v>
      </c>
      <c r="X32" s="46">
        <f t="shared" si="1"/>
        <v>1.3926774193548386</v>
      </c>
      <c r="Y32" s="43">
        <f t="shared" si="28"/>
        <v>6.1277806451612897E-2</v>
      </c>
      <c r="Z32" s="43">
        <f t="shared" si="29"/>
        <v>2.1038713548387098</v>
      </c>
      <c r="AA32" s="43">
        <v>6.8</v>
      </c>
      <c r="AB32" s="43">
        <f t="shared" si="30"/>
        <v>0.32514375483870972</v>
      </c>
      <c r="AC32" s="43">
        <f t="shared" si="5"/>
        <v>0.16666666666666666</v>
      </c>
      <c r="AD32" s="47">
        <v>0</v>
      </c>
      <c r="AE32" s="47">
        <v>0</v>
      </c>
      <c r="AF32" s="43">
        <f t="shared" si="6"/>
        <v>0.49181042150537635</v>
      </c>
      <c r="AG32" s="47">
        <v>0</v>
      </c>
      <c r="AH32" s="48">
        <f t="shared" si="7"/>
        <v>0.25956817763440865</v>
      </c>
      <c r="AI32" s="47">
        <v>0</v>
      </c>
      <c r="AJ32" s="49">
        <f t="shared" si="8"/>
        <v>2.855249953978495</v>
      </c>
      <c r="AK32" s="50"/>
    </row>
    <row r="33" spans="1:37" ht="15" customHeight="1" thickTop="1" thickBot="1" x14ac:dyDescent="0.4">
      <c r="A33" s="35">
        <v>10</v>
      </c>
      <c r="B33" s="36">
        <v>45932</v>
      </c>
      <c r="C33" s="35" t="s">
        <v>0</v>
      </c>
      <c r="D33" s="70"/>
      <c r="E33" s="37" t="s">
        <v>65</v>
      </c>
      <c r="F33" s="70" t="s">
        <v>66</v>
      </c>
      <c r="G33" s="70" t="s">
        <v>62</v>
      </c>
      <c r="H33" s="70"/>
      <c r="I33" s="70"/>
      <c r="J33" s="70"/>
      <c r="K33" s="70"/>
      <c r="L33" s="39">
        <v>100</v>
      </c>
      <c r="M33" s="40">
        <v>100</v>
      </c>
      <c r="N33" s="41">
        <v>100</v>
      </c>
      <c r="O33" s="72" t="s">
        <v>67</v>
      </c>
      <c r="P33" s="73">
        <v>230</v>
      </c>
      <c r="Q33" s="43"/>
      <c r="R33" s="43">
        <v>0</v>
      </c>
      <c r="S33" s="44"/>
      <c r="T33" s="45"/>
      <c r="U33" s="45"/>
      <c r="V33" s="43"/>
      <c r="W33" s="43"/>
      <c r="X33" s="46"/>
      <c r="Y33" s="43"/>
      <c r="Z33" s="43"/>
      <c r="AA33" s="43"/>
      <c r="AB33" s="43"/>
      <c r="AC33" s="43"/>
      <c r="AD33" s="47"/>
      <c r="AE33" s="47"/>
      <c r="AF33" s="43"/>
      <c r="AG33" s="47"/>
      <c r="AH33" s="48"/>
      <c r="AI33" s="47"/>
      <c r="AJ33" s="49"/>
      <c r="AK33" s="71"/>
    </row>
    <row r="34" spans="1:37" ht="15" customHeight="1" thickTop="1" thickBot="1" x14ac:dyDescent="0.4">
      <c r="A34" s="35">
        <v>10</v>
      </c>
      <c r="B34" s="36">
        <v>45932</v>
      </c>
      <c r="C34" s="35" t="s">
        <v>0</v>
      </c>
      <c r="D34" s="70"/>
      <c r="E34" s="37" t="s">
        <v>65</v>
      </c>
      <c r="F34" s="70" t="s">
        <v>66</v>
      </c>
      <c r="G34" s="70" t="s">
        <v>62</v>
      </c>
      <c r="H34" s="70"/>
      <c r="I34" s="70"/>
      <c r="J34" s="70"/>
      <c r="K34" s="70"/>
      <c r="L34" s="39"/>
      <c r="M34" s="40"/>
      <c r="N34" s="41"/>
      <c r="O34" s="72" t="s">
        <v>68</v>
      </c>
      <c r="P34" s="73">
        <v>150</v>
      </c>
      <c r="Q34" s="43"/>
      <c r="R34" s="43">
        <v>0</v>
      </c>
      <c r="S34" s="44"/>
      <c r="T34" s="43"/>
      <c r="U34" s="43"/>
      <c r="V34" s="43"/>
      <c r="W34" s="43"/>
      <c r="X34" s="46"/>
      <c r="Y34" s="43"/>
      <c r="Z34" s="43"/>
      <c r="AA34" s="43"/>
      <c r="AB34" s="43"/>
      <c r="AC34" s="43"/>
      <c r="AD34" s="47"/>
      <c r="AE34" s="47"/>
      <c r="AF34" s="43"/>
      <c r="AG34" s="47"/>
      <c r="AH34" s="48"/>
      <c r="AI34" s="47"/>
      <c r="AJ34" s="49"/>
      <c r="AK34" s="71"/>
    </row>
    <row r="35" spans="1:37" ht="15" customHeight="1" thickTop="1" thickBot="1" x14ac:dyDescent="0.4">
      <c r="A35" s="35">
        <v>10</v>
      </c>
      <c r="B35" s="36">
        <v>45932</v>
      </c>
      <c r="C35" s="35" t="s">
        <v>0</v>
      </c>
      <c r="D35" s="70"/>
      <c r="E35" s="37" t="s">
        <v>65</v>
      </c>
      <c r="F35" s="70" t="s">
        <v>66</v>
      </c>
      <c r="G35" s="70" t="s">
        <v>62</v>
      </c>
      <c r="H35" s="70"/>
      <c r="I35" s="70"/>
      <c r="J35" s="70"/>
      <c r="K35" s="70"/>
      <c r="L35" s="39"/>
      <c r="M35" s="40"/>
      <c r="N35" s="41"/>
      <c r="O35" s="72" t="s">
        <v>68</v>
      </c>
      <c r="P35" s="73">
        <v>150</v>
      </c>
      <c r="Q35" s="43"/>
      <c r="R35" s="43"/>
      <c r="S35" s="44"/>
      <c r="T35" s="43"/>
      <c r="U35" s="43"/>
      <c r="V35" s="43"/>
      <c r="W35" s="43"/>
      <c r="X35" s="46"/>
      <c r="Y35" s="43"/>
      <c r="Z35" s="43"/>
      <c r="AA35" s="43"/>
      <c r="AB35" s="43"/>
      <c r="AC35" s="43"/>
      <c r="AD35" s="47"/>
      <c r="AE35" s="47"/>
      <c r="AF35" s="43"/>
      <c r="AG35" s="47"/>
      <c r="AH35" s="48"/>
      <c r="AI35" s="47"/>
      <c r="AJ35" s="49"/>
      <c r="AK35" s="71"/>
    </row>
    <row r="36" spans="1:37" ht="15" customHeight="1" thickTop="1" thickBot="1" x14ac:dyDescent="0.4">
      <c r="A36" s="35">
        <v>10</v>
      </c>
      <c r="B36" s="36">
        <v>45932</v>
      </c>
      <c r="C36" s="35" t="s">
        <v>0</v>
      </c>
      <c r="D36" s="70"/>
      <c r="E36" s="37" t="s">
        <v>65</v>
      </c>
      <c r="F36" s="70" t="s">
        <v>66</v>
      </c>
      <c r="G36" s="70" t="s">
        <v>62</v>
      </c>
      <c r="H36" s="70"/>
      <c r="I36" s="70"/>
      <c r="J36" s="70"/>
      <c r="K36" s="70"/>
      <c r="L36" s="39"/>
      <c r="M36" s="40"/>
      <c r="N36" s="41"/>
      <c r="O36" s="72" t="s">
        <v>67</v>
      </c>
      <c r="P36" s="73">
        <v>180</v>
      </c>
      <c r="Q36" s="43"/>
      <c r="R36" s="43">
        <v>0</v>
      </c>
      <c r="S36" s="44"/>
      <c r="T36" s="43"/>
      <c r="U36" s="43"/>
      <c r="V36" s="43"/>
      <c r="W36" s="43"/>
      <c r="X36" s="46"/>
      <c r="Y36" s="43"/>
      <c r="Z36" s="43"/>
      <c r="AA36" s="43"/>
      <c r="AB36" s="43"/>
      <c r="AC36" s="43"/>
      <c r="AD36" s="47"/>
      <c r="AE36" s="47"/>
      <c r="AF36" s="43"/>
      <c r="AG36" s="47"/>
      <c r="AH36" s="48"/>
      <c r="AI36" s="47"/>
      <c r="AJ36" s="49"/>
      <c r="AK36" s="71"/>
    </row>
    <row r="37" spans="1:37" ht="15" customHeight="1" thickTop="1" x14ac:dyDescent="0.35">
      <c r="A37" s="35">
        <v>11</v>
      </c>
      <c r="B37" s="36">
        <v>45932</v>
      </c>
      <c r="C37" s="35" t="s">
        <v>0</v>
      </c>
      <c r="D37" s="35"/>
      <c r="E37" s="37" t="s">
        <v>69</v>
      </c>
      <c r="F37" s="35" t="s">
        <v>45</v>
      </c>
      <c r="G37" s="35"/>
      <c r="H37" s="35" t="s">
        <v>70</v>
      </c>
      <c r="I37" s="35" t="s">
        <v>71</v>
      </c>
      <c r="J37" s="35"/>
      <c r="K37" s="35" t="s">
        <v>72</v>
      </c>
      <c r="L37" s="74">
        <v>100</v>
      </c>
      <c r="M37" s="75">
        <v>100</v>
      </c>
      <c r="N37" s="76"/>
      <c r="O37" s="42" t="s">
        <v>51</v>
      </c>
      <c r="P37" s="77">
        <v>150</v>
      </c>
      <c r="Q37" s="43"/>
      <c r="R37" s="43">
        <v>0</v>
      </c>
      <c r="S37" s="44">
        <v>38.5</v>
      </c>
      <c r="T37" s="45">
        <f>(M37+15)/25.4</f>
        <v>4.5275590551181102</v>
      </c>
      <c r="U37" s="45">
        <f>(L37+15)/25.4</f>
        <v>4.5275590551181102</v>
      </c>
      <c r="V37" s="43">
        <f>T38*U38*P37/1550</f>
        <v>2.782258064516129</v>
      </c>
      <c r="W37" s="43">
        <f t="shared" si="0"/>
        <v>0.10711693548387097</v>
      </c>
      <c r="X37" s="78">
        <f t="shared" si="1"/>
        <v>8.3467741935483869E-2</v>
      </c>
      <c r="Y37" s="43">
        <f>S37*X37/1000</f>
        <v>3.2135080645161289E-3</v>
      </c>
      <c r="Z37" s="43">
        <f>W37+Y37</f>
        <v>0.1103304435483871</v>
      </c>
      <c r="AA37" s="43">
        <v>6.8</v>
      </c>
      <c r="AB37" s="43">
        <f>(V37+X37)*AA37/1000</f>
        <v>1.9486935483870968E-2</v>
      </c>
      <c r="AC37" s="43">
        <f>0.5/2</f>
        <v>0.25</v>
      </c>
      <c r="AD37" s="47">
        <v>0</v>
      </c>
      <c r="AE37" s="47">
        <v>0</v>
      </c>
      <c r="AF37" s="43">
        <f t="shared" si="6"/>
        <v>0.26948693548387098</v>
      </c>
      <c r="AG37" s="47">
        <v>0</v>
      </c>
      <c r="AH37" s="48">
        <f t="shared" si="7"/>
        <v>3.7981737903225815E-2</v>
      </c>
      <c r="AI37" s="47">
        <v>0</v>
      </c>
      <c r="AJ37" s="49">
        <f t="shared" si="8"/>
        <v>0.41779911693548388</v>
      </c>
      <c r="AK37" s="50">
        <f>AJ37+AJ38+AJ39</f>
        <v>0.89271788064516122</v>
      </c>
    </row>
    <row r="38" spans="1:37" ht="15" customHeight="1" x14ac:dyDescent="0.35">
      <c r="A38" s="35">
        <v>11</v>
      </c>
      <c r="B38" s="36">
        <v>45932</v>
      </c>
      <c r="C38" s="35" t="s">
        <v>0</v>
      </c>
      <c r="D38" s="35"/>
      <c r="E38" s="37" t="s">
        <v>69</v>
      </c>
      <c r="F38" s="35" t="s">
        <v>45</v>
      </c>
      <c r="G38" s="35"/>
      <c r="H38" s="35" t="s">
        <v>70</v>
      </c>
      <c r="I38" s="35" t="s">
        <v>71</v>
      </c>
      <c r="J38" s="35"/>
      <c r="K38" s="35" t="s">
        <v>72</v>
      </c>
      <c r="L38" s="79"/>
      <c r="M38" s="80"/>
      <c r="N38" s="81"/>
      <c r="O38" s="42" t="s">
        <v>51</v>
      </c>
      <c r="P38" s="77">
        <v>150</v>
      </c>
      <c r="Q38" s="43"/>
      <c r="R38" s="43">
        <v>0</v>
      </c>
      <c r="S38" s="44">
        <v>38.5</v>
      </c>
      <c r="T38" s="43">
        <f>ROUNDUP($T37,0)+0.75</f>
        <v>5.75</v>
      </c>
      <c r="U38" s="43">
        <f>CEILING($U37,0.5)</f>
        <v>5</v>
      </c>
      <c r="V38" s="43">
        <f>T38*U38*P38*1.4/1550</f>
        <v>3.8951612903225805</v>
      </c>
      <c r="W38" s="43">
        <f t="shared" si="0"/>
        <v>0.14996370967741937</v>
      </c>
      <c r="X38" s="78">
        <f t="shared" si="1"/>
        <v>0.11685483870967742</v>
      </c>
      <c r="Y38" s="43">
        <f>S38*X38/1000</f>
        <v>4.4989112903225806E-3</v>
      </c>
      <c r="Z38" s="43">
        <f>W38+Y38</f>
        <v>0.15446262096774196</v>
      </c>
      <c r="AA38" s="43">
        <v>6.8</v>
      </c>
      <c r="AB38" s="43">
        <f>(V38+X38)*AA38/1000</f>
        <v>2.7281709677419354E-2</v>
      </c>
      <c r="AC38" s="43">
        <f>0.5/2</f>
        <v>0.25</v>
      </c>
      <c r="AD38" s="47">
        <v>0</v>
      </c>
      <c r="AE38" s="47">
        <v>0</v>
      </c>
      <c r="AF38" s="43">
        <f t="shared" si="6"/>
        <v>0.27728170967741933</v>
      </c>
      <c r="AG38" s="47">
        <v>0</v>
      </c>
      <c r="AH38" s="48">
        <f t="shared" si="7"/>
        <v>4.3174433064516127E-2</v>
      </c>
      <c r="AI38" s="47">
        <v>0</v>
      </c>
      <c r="AJ38" s="49">
        <f t="shared" si="8"/>
        <v>0.47491876370967739</v>
      </c>
      <c r="AK38" s="50"/>
    </row>
    <row r="39" spans="1:37" ht="15" customHeight="1" thickBot="1" x14ac:dyDescent="0.4">
      <c r="A39" s="35">
        <v>11</v>
      </c>
      <c r="B39" s="36">
        <v>45932</v>
      </c>
      <c r="C39" s="35" t="s">
        <v>0</v>
      </c>
      <c r="D39" s="35"/>
      <c r="E39" s="37" t="s">
        <v>69</v>
      </c>
      <c r="F39" s="35" t="s">
        <v>45</v>
      </c>
      <c r="G39" s="35"/>
      <c r="H39" s="35" t="s">
        <v>70</v>
      </c>
      <c r="I39" s="35" t="s">
        <v>71</v>
      </c>
      <c r="J39" s="35"/>
      <c r="K39" s="35" t="s">
        <v>72</v>
      </c>
      <c r="L39" s="82"/>
      <c r="M39" s="83"/>
      <c r="N39" s="84"/>
      <c r="O39" s="42"/>
      <c r="P39" s="77"/>
      <c r="Q39" s="43"/>
      <c r="R39" s="43"/>
      <c r="S39" s="85">
        <v>0</v>
      </c>
      <c r="T39" s="86">
        <v>0</v>
      </c>
      <c r="U39" s="86">
        <v>0</v>
      </c>
      <c r="V39" s="86">
        <v>0</v>
      </c>
      <c r="W39" s="86">
        <v>0</v>
      </c>
      <c r="X39" s="86">
        <v>0</v>
      </c>
      <c r="Y39" s="86">
        <v>0</v>
      </c>
      <c r="Z39" s="86">
        <v>0</v>
      </c>
      <c r="AA39" s="86">
        <v>0</v>
      </c>
      <c r="AB39" s="86">
        <v>0</v>
      </c>
      <c r="AC39" s="86">
        <v>0</v>
      </c>
      <c r="AD39" s="87">
        <v>0</v>
      </c>
      <c r="AE39" s="87">
        <v>0</v>
      </c>
      <c r="AF39" s="87">
        <f t="shared" si="6"/>
        <v>0</v>
      </c>
      <c r="AG39" s="87">
        <v>0</v>
      </c>
      <c r="AH39" s="87">
        <f t="shared" si="7"/>
        <v>0</v>
      </c>
      <c r="AI39" s="87">
        <v>0</v>
      </c>
      <c r="AJ39" s="49">
        <f t="shared" si="8"/>
        <v>0</v>
      </c>
      <c r="AK39" s="50"/>
    </row>
    <row r="40" spans="1:37" ht="15" customHeight="1" thickTop="1" x14ac:dyDescent="0.35">
      <c r="A40" s="35">
        <v>12</v>
      </c>
      <c r="B40" s="36">
        <v>45932</v>
      </c>
      <c r="C40" s="35" t="s">
        <v>0</v>
      </c>
      <c r="D40" s="70"/>
      <c r="E40" s="37" t="s">
        <v>73</v>
      </c>
      <c r="F40" s="70" t="s">
        <v>61</v>
      </c>
      <c r="G40" s="70" t="s">
        <v>62</v>
      </c>
      <c r="H40" s="70"/>
      <c r="I40" s="70"/>
      <c r="J40" s="70"/>
      <c r="K40" s="70"/>
      <c r="L40" s="74">
        <v>100</v>
      </c>
      <c r="M40" s="75">
        <v>100</v>
      </c>
      <c r="N40" s="76"/>
      <c r="O40" s="42" t="s">
        <v>50</v>
      </c>
      <c r="P40" s="43">
        <v>150</v>
      </c>
      <c r="Q40" s="43"/>
      <c r="R40" s="43">
        <v>0</v>
      </c>
      <c r="S40" s="44"/>
      <c r="T40" s="45"/>
      <c r="U40" s="45"/>
      <c r="V40" s="43"/>
      <c r="W40" s="43"/>
      <c r="X40" s="78"/>
      <c r="Y40" s="43"/>
      <c r="Z40" s="43"/>
      <c r="AA40" s="43"/>
      <c r="AB40" s="43"/>
      <c r="AC40" s="43"/>
      <c r="AD40" s="47"/>
      <c r="AE40" s="47"/>
      <c r="AF40" s="43"/>
      <c r="AG40" s="47"/>
      <c r="AH40" s="48"/>
      <c r="AI40" s="47"/>
      <c r="AJ40" s="49"/>
      <c r="AK40" s="71"/>
    </row>
    <row r="41" spans="1:37" ht="15" customHeight="1" x14ac:dyDescent="0.35">
      <c r="A41" s="35">
        <v>12</v>
      </c>
      <c r="B41" s="36">
        <v>45932</v>
      </c>
      <c r="C41" s="35" t="s">
        <v>0</v>
      </c>
      <c r="D41" s="70"/>
      <c r="E41" s="37" t="s">
        <v>73</v>
      </c>
      <c r="F41" s="70" t="s">
        <v>61</v>
      </c>
      <c r="G41" s="70" t="s">
        <v>62</v>
      </c>
      <c r="H41" s="70"/>
      <c r="I41" s="70"/>
      <c r="J41" s="70"/>
      <c r="K41" s="70"/>
      <c r="L41" s="79"/>
      <c r="M41" s="80"/>
      <c r="N41" s="81"/>
      <c r="O41" s="42" t="s">
        <v>51</v>
      </c>
      <c r="P41" s="43">
        <v>150</v>
      </c>
      <c r="Q41" s="43"/>
      <c r="R41" s="43">
        <v>0</v>
      </c>
      <c r="S41" s="44"/>
      <c r="T41" s="43"/>
      <c r="U41" s="43"/>
      <c r="V41" s="43"/>
      <c r="W41" s="43"/>
      <c r="X41" s="78"/>
      <c r="Y41" s="43"/>
      <c r="Z41" s="43"/>
      <c r="AA41" s="43"/>
      <c r="AB41" s="43"/>
      <c r="AC41" s="43"/>
      <c r="AD41" s="47"/>
      <c r="AE41" s="47"/>
      <c r="AF41" s="43"/>
      <c r="AG41" s="47"/>
      <c r="AH41" s="48"/>
      <c r="AI41" s="47"/>
      <c r="AJ41" s="49"/>
      <c r="AK41" s="71"/>
    </row>
    <row r="42" spans="1:37" ht="15" customHeight="1" thickBot="1" x14ac:dyDescent="0.4">
      <c r="A42" s="35">
        <v>12</v>
      </c>
      <c r="B42" s="36">
        <v>45932</v>
      </c>
      <c r="C42" s="35" t="s">
        <v>0</v>
      </c>
      <c r="D42" s="70"/>
      <c r="E42" s="37" t="s">
        <v>73</v>
      </c>
      <c r="F42" s="70" t="s">
        <v>61</v>
      </c>
      <c r="G42" s="70" t="s">
        <v>62</v>
      </c>
      <c r="H42" s="70"/>
      <c r="I42" s="70"/>
      <c r="J42" s="70"/>
      <c r="K42" s="70"/>
      <c r="L42" s="82"/>
      <c r="M42" s="83"/>
      <c r="N42" s="84"/>
      <c r="O42" s="42"/>
      <c r="P42" s="43"/>
      <c r="Q42" s="43"/>
      <c r="R42" s="43"/>
      <c r="S42" s="85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7"/>
      <c r="AE42" s="87"/>
      <c r="AF42" s="87"/>
      <c r="AG42" s="87"/>
      <c r="AH42" s="87"/>
      <c r="AI42" s="87"/>
      <c r="AJ42" s="49"/>
      <c r="AK42" s="71"/>
    </row>
    <row r="43" spans="1:37" ht="15" customHeight="1" thickTop="1" thickBot="1" x14ac:dyDescent="0.4">
      <c r="A43" s="35">
        <v>13</v>
      </c>
      <c r="B43" s="36">
        <v>45932</v>
      </c>
      <c r="C43" s="35" t="s">
        <v>0</v>
      </c>
      <c r="D43" s="35"/>
      <c r="E43" s="37" t="s">
        <v>74</v>
      </c>
      <c r="F43" s="35" t="s">
        <v>45</v>
      </c>
      <c r="G43" s="35"/>
      <c r="H43" s="38" t="s">
        <v>46</v>
      </c>
      <c r="I43" s="35" t="s">
        <v>71</v>
      </c>
      <c r="J43" s="35"/>
      <c r="K43" s="35" t="s">
        <v>72</v>
      </c>
      <c r="L43" s="88">
        <v>100</v>
      </c>
      <c r="M43" s="88">
        <v>100</v>
      </c>
      <c r="N43" s="89"/>
      <c r="O43" s="42" t="s">
        <v>50</v>
      </c>
      <c r="P43" s="43">
        <v>230</v>
      </c>
      <c r="Q43" s="43"/>
      <c r="R43" s="43">
        <v>0</v>
      </c>
      <c r="S43" s="44">
        <v>44</v>
      </c>
      <c r="T43" s="45">
        <f>(M43+15)/25.4</f>
        <v>4.5275590551181102</v>
      </c>
      <c r="U43" s="45">
        <f>(L43+15)/25.4</f>
        <v>4.5275590551181102</v>
      </c>
      <c r="V43" s="43">
        <f>T44*U44*P43/1550</f>
        <v>4.2661290322580649</v>
      </c>
      <c r="W43" s="43">
        <f t="shared" si="0"/>
        <v>0.18770967741935485</v>
      </c>
      <c r="X43" s="46">
        <f t="shared" si="1"/>
        <v>0.12798387096774194</v>
      </c>
      <c r="Y43" s="43">
        <f>S43*X43/1000</f>
        <v>5.631290322580646E-3</v>
      </c>
      <c r="Z43" s="43">
        <f>W43+Y43</f>
        <v>0.19334096774193549</v>
      </c>
      <c r="AA43" s="43">
        <v>6.8</v>
      </c>
      <c r="AB43" s="43">
        <f>(V43+X43)*AA43/1000</f>
        <v>2.9879967741935486E-2</v>
      </c>
      <c r="AC43" s="43">
        <f t="shared" ref="AC43:AC107" si="31">0.5/3</f>
        <v>0.16666666666666666</v>
      </c>
      <c r="AD43" s="47">
        <v>0</v>
      </c>
      <c r="AE43" s="47">
        <v>0</v>
      </c>
      <c r="AF43" s="43">
        <f t="shared" si="6"/>
        <v>0.19654663440860215</v>
      </c>
      <c r="AG43" s="47">
        <v>0</v>
      </c>
      <c r="AH43" s="48">
        <f t="shared" si="7"/>
        <v>3.8988760215053764E-2</v>
      </c>
      <c r="AI43" s="47">
        <v>0</v>
      </c>
      <c r="AJ43" s="49">
        <f t="shared" si="8"/>
        <v>0.4288763623655914</v>
      </c>
      <c r="AK43" s="50">
        <f t="shared" si="9"/>
        <v>1.187625902419355</v>
      </c>
    </row>
    <row r="44" spans="1:37" ht="15" customHeight="1" thickTop="1" thickBot="1" x14ac:dyDescent="0.4">
      <c r="A44" s="35">
        <v>13</v>
      </c>
      <c r="B44" s="36">
        <v>45932</v>
      </c>
      <c r="C44" s="35" t="s">
        <v>0</v>
      </c>
      <c r="D44" s="35"/>
      <c r="E44" s="37" t="s">
        <v>74</v>
      </c>
      <c r="F44" s="35" t="s">
        <v>45</v>
      </c>
      <c r="G44" s="35"/>
      <c r="H44" s="38" t="s">
        <v>46</v>
      </c>
      <c r="I44" s="35" t="s">
        <v>71</v>
      </c>
      <c r="J44" s="35"/>
      <c r="K44" s="35" t="s">
        <v>72</v>
      </c>
      <c r="L44" s="39"/>
      <c r="M44" s="40"/>
      <c r="N44" s="89"/>
      <c r="O44" s="42" t="s">
        <v>51</v>
      </c>
      <c r="P44" s="43">
        <v>150</v>
      </c>
      <c r="Q44" s="43"/>
      <c r="R44" s="43">
        <v>0</v>
      </c>
      <c r="S44" s="44">
        <v>38.5</v>
      </c>
      <c r="T44" s="43">
        <f>ROUNDUP($T43,0)+0.75</f>
        <v>5.75</v>
      </c>
      <c r="U44" s="43">
        <f>CEILING($U43,0.5)</f>
        <v>5</v>
      </c>
      <c r="V44" s="43">
        <f>T44*U44*P44*1.4/1550</f>
        <v>3.8951612903225805</v>
      </c>
      <c r="W44" s="43">
        <f t="shared" si="0"/>
        <v>0.14996370967741937</v>
      </c>
      <c r="X44" s="46">
        <f t="shared" si="1"/>
        <v>0.11685483870967742</v>
      </c>
      <c r="Y44" s="43">
        <f t="shared" ref="Y44:Y45" si="32">S44*X44/1000</f>
        <v>4.4989112903225806E-3</v>
      </c>
      <c r="Z44" s="43">
        <f t="shared" ref="Z44:Z45" si="33">W44+Y44</f>
        <v>0.15446262096774196</v>
      </c>
      <c r="AA44" s="43">
        <v>6.8</v>
      </c>
      <c r="AB44" s="43">
        <f t="shared" ref="AB44:AB45" si="34">(V44+X44)*AA44/1000</f>
        <v>2.7281709677419354E-2</v>
      </c>
      <c r="AC44" s="43">
        <f t="shared" si="31"/>
        <v>0.16666666666666666</v>
      </c>
      <c r="AD44" s="47">
        <v>0</v>
      </c>
      <c r="AE44" s="47">
        <v>0</v>
      </c>
      <c r="AF44" s="43">
        <f t="shared" si="6"/>
        <v>0.19394837634408602</v>
      </c>
      <c r="AG44" s="47">
        <v>0</v>
      </c>
      <c r="AH44" s="48">
        <f t="shared" si="7"/>
        <v>3.4841099731182802E-2</v>
      </c>
      <c r="AI44" s="47">
        <v>0</v>
      </c>
      <c r="AJ44" s="49">
        <f t="shared" si="8"/>
        <v>0.38325209704301083</v>
      </c>
      <c r="AK44" s="50"/>
    </row>
    <row r="45" spans="1:37" ht="15" customHeight="1" thickTop="1" thickBot="1" x14ac:dyDescent="0.4">
      <c r="A45" s="35">
        <v>13</v>
      </c>
      <c r="B45" s="36">
        <v>45932</v>
      </c>
      <c r="C45" s="35" t="s">
        <v>0</v>
      </c>
      <c r="D45" s="35"/>
      <c r="E45" s="37" t="s">
        <v>74</v>
      </c>
      <c r="F45" s="35" t="s">
        <v>45</v>
      </c>
      <c r="G45" s="35"/>
      <c r="H45" s="38" t="s">
        <v>46</v>
      </c>
      <c r="I45" s="35" t="s">
        <v>71</v>
      </c>
      <c r="J45" s="35"/>
      <c r="K45" s="35" t="s">
        <v>72</v>
      </c>
      <c r="L45" s="39"/>
      <c r="M45" s="40"/>
      <c r="N45" s="89"/>
      <c r="O45" s="42" t="s">
        <v>50</v>
      </c>
      <c r="P45" s="43">
        <v>180</v>
      </c>
      <c r="Q45" s="43"/>
      <c r="R45" s="43">
        <v>0</v>
      </c>
      <c r="S45" s="44">
        <v>44</v>
      </c>
      <c r="T45" s="43">
        <f>T44</f>
        <v>5.75</v>
      </c>
      <c r="U45" s="43">
        <f>U44</f>
        <v>5</v>
      </c>
      <c r="V45" s="43">
        <f>T45*U45*P45/1550</f>
        <v>3.338709677419355</v>
      </c>
      <c r="W45" s="43">
        <f t="shared" si="0"/>
        <v>0.14690322580645163</v>
      </c>
      <c r="X45" s="46">
        <f t="shared" si="1"/>
        <v>0.10016129032258064</v>
      </c>
      <c r="Y45" s="43">
        <f t="shared" si="32"/>
        <v>4.4070967741935488E-3</v>
      </c>
      <c r="Z45" s="43">
        <f t="shared" si="33"/>
        <v>0.15131032258064517</v>
      </c>
      <c r="AA45" s="43">
        <v>6.8</v>
      </c>
      <c r="AB45" s="43">
        <f t="shared" si="34"/>
        <v>2.3384322580645163E-2</v>
      </c>
      <c r="AC45" s="43">
        <f t="shared" si="31"/>
        <v>0.16666666666666666</v>
      </c>
      <c r="AD45" s="47">
        <v>0</v>
      </c>
      <c r="AE45" s="47">
        <v>0</v>
      </c>
      <c r="AF45" s="43">
        <f t="shared" si="6"/>
        <v>0.19005098924731181</v>
      </c>
      <c r="AG45" s="47">
        <v>0</v>
      </c>
      <c r="AH45" s="48">
        <f t="shared" si="7"/>
        <v>3.4136131182795702E-2</v>
      </c>
      <c r="AI45" s="47">
        <v>0</v>
      </c>
      <c r="AJ45" s="49">
        <f t="shared" si="8"/>
        <v>0.37549744301075266</v>
      </c>
      <c r="AK45" s="50"/>
    </row>
    <row r="46" spans="1:37" ht="15" customHeight="1" thickTop="1" thickBot="1" x14ac:dyDescent="0.4">
      <c r="A46" s="35">
        <v>14</v>
      </c>
      <c r="B46" s="36">
        <v>45932</v>
      </c>
      <c r="C46" s="35" t="s">
        <v>0</v>
      </c>
      <c r="D46" s="35"/>
      <c r="E46" s="51" t="s">
        <v>75</v>
      </c>
      <c r="F46" s="35" t="s">
        <v>45</v>
      </c>
      <c r="G46" s="35"/>
      <c r="H46" s="38" t="s">
        <v>46</v>
      </c>
      <c r="I46" s="35" t="s">
        <v>76</v>
      </c>
      <c r="J46" s="38" t="s">
        <v>48</v>
      </c>
      <c r="K46" s="38" t="s">
        <v>49</v>
      </c>
      <c r="L46" s="39">
        <v>100</v>
      </c>
      <c r="M46" s="40">
        <v>100</v>
      </c>
      <c r="N46" s="41">
        <v>100</v>
      </c>
      <c r="O46" s="42" t="s">
        <v>50</v>
      </c>
      <c r="P46" s="43">
        <v>230</v>
      </c>
      <c r="Q46" s="43"/>
      <c r="R46" s="43">
        <v>0</v>
      </c>
      <c r="S46" s="44">
        <v>44</v>
      </c>
      <c r="T46" s="45">
        <f>((M46/2)+N46+10)/25.4</f>
        <v>6.2992125984251972</v>
      </c>
      <c r="U46" s="45">
        <f>((L46+M46+L46+M46+55)/25.4)</f>
        <v>17.913385826771655</v>
      </c>
      <c r="V46" s="43">
        <f>T47*U47*P46/1550</f>
        <v>20.7</v>
      </c>
      <c r="W46" s="43">
        <f t="shared" si="0"/>
        <v>0.91079999999999994</v>
      </c>
      <c r="X46" s="46">
        <f t="shared" si="1"/>
        <v>0.621</v>
      </c>
      <c r="Y46" s="43">
        <f>S46*X46/1000</f>
        <v>2.7323999999999998E-2</v>
      </c>
      <c r="Z46" s="43">
        <f>W46+Y46</f>
        <v>0.93812399999999996</v>
      </c>
      <c r="AA46" s="43">
        <v>6.8</v>
      </c>
      <c r="AB46" s="43">
        <f>(V46+X46)*AA46/1000</f>
        <v>0.14498279999999997</v>
      </c>
      <c r="AC46" s="43">
        <f t="shared" si="31"/>
        <v>0.16666666666666666</v>
      </c>
      <c r="AD46" s="47">
        <v>0</v>
      </c>
      <c r="AE46" s="47">
        <v>0</v>
      </c>
      <c r="AF46" s="43">
        <f t="shared" si="6"/>
        <v>0.3116494666666666</v>
      </c>
      <c r="AG46" s="47">
        <v>0</v>
      </c>
      <c r="AH46" s="48">
        <f t="shared" si="7"/>
        <v>0.12497734666666666</v>
      </c>
      <c r="AI46" s="47">
        <v>0</v>
      </c>
      <c r="AJ46" s="49">
        <f t="shared" si="8"/>
        <v>1.374750813333333</v>
      </c>
      <c r="AK46" s="50">
        <f t="shared" si="9"/>
        <v>3.6438717699999996</v>
      </c>
    </row>
    <row r="47" spans="1:37" ht="15" customHeight="1" thickTop="1" thickBot="1" x14ac:dyDescent="0.4">
      <c r="A47" s="35">
        <v>14</v>
      </c>
      <c r="B47" s="36">
        <v>45932</v>
      </c>
      <c r="C47" s="35" t="s">
        <v>0</v>
      </c>
      <c r="D47" s="35"/>
      <c r="E47" s="51" t="s">
        <v>75</v>
      </c>
      <c r="F47" s="35" t="s">
        <v>45</v>
      </c>
      <c r="G47" s="35"/>
      <c r="H47" s="38" t="s">
        <v>46</v>
      </c>
      <c r="I47" s="35" t="s">
        <v>76</v>
      </c>
      <c r="J47" s="38" t="s">
        <v>48</v>
      </c>
      <c r="K47" s="38" t="s">
        <v>49</v>
      </c>
      <c r="L47" s="39"/>
      <c r="M47" s="40"/>
      <c r="N47" s="41"/>
      <c r="O47" s="42" t="s">
        <v>51</v>
      </c>
      <c r="P47" s="43">
        <v>150</v>
      </c>
      <c r="Q47" s="43"/>
      <c r="R47" s="43">
        <v>0</v>
      </c>
      <c r="S47" s="44">
        <v>38.5</v>
      </c>
      <c r="T47" s="43">
        <f>ROUNDUP($T46,0)+0.75</f>
        <v>7.75</v>
      </c>
      <c r="U47" s="43">
        <f>CEILING($U46,0.5)</f>
        <v>18</v>
      </c>
      <c r="V47" s="43">
        <f>T47*U47*(P47*1.4)/1550</f>
        <v>18.899999999999999</v>
      </c>
      <c r="W47" s="43">
        <f t="shared" si="0"/>
        <v>0.72765000000000002</v>
      </c>
      <c r="X47" s="46">
        <f t="shared" si="1"/>
        <v>0.56699999999999995</v>
      </c>
      <c r="Y47" s="43">
        <f t="shared" ref="Y47:Y48" si="35">S47*X47/1000</f>
        <v>2.1829499999999998E-2</v>
      </c>
      <c r="Z47" s="43">
        <f t="shared" ref="Z47:Z48" si="36">W47+Y47</f>
        <v>0.74947949999999997</v>
      </c>
      <c r="AA47" s="43">
        <v>6.8</v>
      </c>
      <c r="AB47" s="43">
        <f t="shared" ref="AB47:AB48" si="37">(V47+X47)*AA47/1000</f>
        <v>0.13237559999999998</v>
      </c>
      <c r="AC47" s="43">
        <f t="shared" si="31"/>
        <v>0.16666666666666666</v>
      </c>
      <c r="AD47" s="47">
        <v>0</v>
      </c>
      <c r="AE47" s="47">
        <v>0</v>
      </c>
      <c r="AF47" s="43">
        <f t="shared" si="6"/>
        <v>0.29904226666666667</v>
      </c>
      <c r="AG47" s="47">
        <v>0</v>
      </c>
      <c r="AH47" s="48">
        <f t="shared" si="7"/>
        <v>0.10485217666666667</v>
      </c>
      <c r="AI47" s="47">
        <v>0</v>
      </c>
      <c r="AJ47" s="49">
        <f t="shared" si="8"/>
        <v>1.1533739433333332</v>
      </c>
      <c r="AK47" s="50"/>
    </row>
    <row r="48" spans="1:37" ht="15" customHeight="1" thickTop="1" thickBot="1" x14ac:dyDescent="0.4">
      <c r="A48" s="35">
        <v>14</v>
      </c>
      <c r="B48" s="36">
        <v>45932</v>
      </c>
      <c r="C48" s="35" t="s">
        <v>0</v>
      </c>
      <c r="D48" s="35"/>
      <c r="E48" s="51" t="s">
        <v>75</v>
      </c>
      <c r="F48" s="35" t="s">
        <v>45</v>
      </c>
      <c r="G48" s="35"/>
      <c r="H48" s="38" t="s">
        <v>46</v>
      </c>
      <c r="I48" s="35" t="s">
        <v>76</v>
      </c>
      <c r="J48" s="38" t="s">
        <v>48</v>
      </c>
      <c r="K48" s="38" t="s">
        <v>49</v>
      </c>
      <c r="L48" s="39"/>
      <c r="M48" s="40"/>
      <c r="N48" s="41"/>
      <c r="O48" s="42" t="s">
        <v>50</v>
      </c>
      <c r="P48" s="43">
        <v>180</v>
      </c>
      <c r="Q48" s="43"/>
      <c r="R48" s="43">
        <v>0</v>
      </c>
      <c r="S48" s="44">
        <v>44</v>
      </c>
      <c r="T48" s="43">
        <f>T47</f>
        <v>7.75</v>
      </c>
      <c r="U48" s="43">
        <f>U47</f>
        <v>18</v>
      </c>
      <c r="V48" s="43">
        <f>T48*U48*P48/1550</f>
        <v>16.2</v>
      </c>
      <c r="W48" s="43">
        <f t="shared" si="0"/>
        <v>0.71279999999999999</v>
      </c>
      <c r="X48" s="46">
        <f t="shared" si="1"/>
        <v>0.48599999999999999</v>
      </c>
      <c r="Y48" s="43">
        <f t="shared" si="35"/>
        <v>2.1384E-2</v>
      </c>
      <c r="Z48" s="43">
        <f t="shared" si="36"/>
        <v>0.73418399999999995</v>
      </c>
      <c r="AA48" s="43">
        <v>6.8</v>
      </c>
      <c r="AB48" s="43">
        <f t="shared" si="37"/>
        <v>0.11346479999999999</v>
      </c>
      <c r="AC48" s="43">
        <f t="shared" si="31"/>
        <v>0.16666666666666666</v>
      </c>
      <c r="AD48" s="47">
        <v>0</v>
      </c>
      <c r="AE48" s="47">
        <v>0</v>
      </c>
      <c r="AF48" s="43">
        <f t="shared" si="6"/>
        <v>0.28013146666666666</v>
      </c>
      <c r="AG48" s="47">
        <v>0</v>
      </c>
      <c r="AH48" s="48">
        <f t="shared" si="7"/>
        <v>0.10143154666666665</v>
      </c>
      <c r="AI48" s="47">
        <v>0</v>
      </c>
      <c r="AJ48" s="49">
        <f t="shared" si="8"/>
        <v>1.1157470133333331</v>
      </c>
      <c r="AK48" s="50"/>
    </row>
    <row r="49" spans="1:37" ht="15" customHeight="1" thickTop="1" thickBot="1" x14ac:dyDescent="0.4">
      <c r="A49" s="35">
        <v>15</v>
      </c>
      <c r="B49" s="36">
        <v>45932</v>
      </c>
      <c r="C49" s="35" t="s">
        <v>0</v>
      </c>
      <c r="D49" s="35"/>
      <c r="E49" s="51" t="s">
        <v>75</v>
      </c>
      <c r="F49" s="35" t="s">
        <v>45</v>
      </c>
      <c r="G49" s="35"/>
      <c r="H49" s="38" t="s">
        <v>46</v>
      </c>
      <c r="I49" s="35" t="s">
        <v>76</v>
      </c>
      <c r="J49" s="38" t="s">
        <v>48</v>
      </c>
      <c r="K49" s="38" t="s">
        <v>49</v>
      </c>
      <c r="L49" s="39">
        <v>100</v>
      </c>
      <c r="M49" s="40">
        <v>100</v>
      </c>
      <c r="N49" s="41">
        <v>100</v>
      </c>
      <c r="O49" s="42" t="s">
        <v>50</v>
      </c>
      <c r="P49" s="43">
        <v>230</v>
      </c>
      <c r="Q49" s="43"/>
      <c r="R49" s="43">
        <v>0</v>
      </c>
      <c r="S49" s="44">
        <v>44</v>
      </c>
      <c r="T49" s="45">
        <f>((M49/2)+N49+10)/25.4</f>
        <v>6.2992125984251972</v>
      </c>
      <c r="U49" s="45">
        <f>((L49+M49+L49+M49+55)/25.4)</f>
        <v>17.913385826771655</v>
      </c>
      <c r="V49" s="43">
        <f>T50*U50*P49/1550</f>
        <v>20.7</v>
      </c>
      <c r="W49" s="43">
        <f t="shared" si="0"/>
        <v>0.91079999999999994</v>
      </c>
      <c r="X49" s="46">
        <f t="shared" si="1"/>
        <v>0.621</v>
      </c>
      <c r="Y49" s="43">
        <f>S49*X49/1000</f>
        <v>2.7323999999999998E-2</v>
      </c>
      <c r="Z49" s="43">
        <f>W49+Y49</f>
        <v>0.93812399999999996</v>
      </c>
      <c r="AA49" s="43">
        <v>6.8</v>
      </c>
      <c r="AB49" s="43">
        <f>(V49+X49)*AA49/1000</f>
        <v>0.14498279999999997</v>
      </c>
      <c r="AC49" s="43">
        <f t="shared" si="31"/>
        <v>0.16666666666666666</v>
      </c>
      <c r="AD49" s="47">
        <v>0</v>
      </c>
      <c r="AE49" s="47">
        <v>0</v>
      </c>
      <c r="AF49" s="43">
        <f t="shared" si="6"/>
        <v>0.3116494666666666</v>
      </c>
      <c r="AG49" s="47">
        <v>0</v>
      </c>
      <c r="AH49" s="48">
        <f t="shared" si="7"/>
        <v>0.12497734666666666</v>
      </c>
      <c r="AI49" s="47">
        <v>0</v>
      </c>
      <c r="AJ49" s="49">
        <f t="shared" si="8"/>
        <v>1.374750813333333</v>
      </c>
      <c r="AK49" s="50">
        <f t="shared" si="9"/>
        <v>5.5463260599999993</v>
      </c>
    </row>
    <row r="50" spans="1:37" ht="15" customHeight="1" thickTop="1" thickBot="1" x14ac:dyDescent="0.4">
      <c r="A50" s="35">
        <v>15</v>
      </c>
      <c r="B50" s="36">
        <v>45932</v>
      </c>
      <c r="C50" s="35" t="s">
        <v>0</v>
      </c>
      <c r="D50" s="35"/>
      <c r="E50" s="51" t="s">
        <v>75</v>
      </c>
      <c r="F50" s="35" t="s">
        <v>45</v>
      </c>
      <c r="G50" s="35"/>
      <c r="H50" s="38" t="s">
        <v>46</v>
      </c>
      <c r="I50" s="35" t="s">
        <v>76</v>
      </c>
      <c r="J50" s="38" t="s">
        <v>48</v>
      </c>
      <c r="K50" s="38" t="s">
        <v>49</v>
      </c>
      <c r="L50" s="39"/>
      <c r="M50" s="40"/>
      <c r="N50" s="41"/>
      <c r="O50" s="42" t="s">
        <v>51</v>
      </c>
      <c r="P50" s="43">
        <v>150</v>
      </c>
      <c r="Q50" s="43"/>
      <c r="R50" s="43">
        <v>0</v>
      </c>
      <c r="S50" s="44">
        <v>38.5</v>
      </c>
      <c r="T50" s="43">
        <f>ROUNDUP($T49,0)+0.75</f>
        <v>7.75</v>
      </c>
      <c r="U50" s="43">
        <f>CEILING($U49,0.5)</f>
        <v>18</v>
      </c>
      <c r="V50" s="43">
        <f>T50*U50*(P50*1.4)*2/1550</f>
        <v>37.799999999999997</v>
      </c>
      <c r="W50" s="43">
        <f t="shared" si="0"/>
        <v>1.4553</v>
      </c>
      <c r="X50" s="46">
        <f t="shared" si="1"/>
        <v>1.1339999999999999</v>
      </c>
      <c r="Y50" s="43">
        <f t="shared" ref="Y50:Y51" si="38">S50*X50/1000</f>
        <v>4.3658999999999996E-2</v>
      </c>
      <c r="Z50" s="43">
        <f t="shared" ref="Z50:Z51" si="39">W50+Y50</f>
        <v>1.4989589999999999</v>
      </c>
      <c r="AA50" s="43">
        <v>6.8</v>
      </c>
      <c r="AB50" s="43">
        <f t="shared" ref="AB50:AB51" si="40">(V50+X50)*AA50/1000</f>
        <v>0.26475119999999996</v>
      </c>
      <c r="AC50" s="43">
        <f t="shared" si="31"/>
        <v>0.16666666666666666</v>
      </c>
      <c r="AD50" s="47">
        <v>0</v>
      </c>
      <c r="AE50" s="47">
        <v>0</v>
      </c>
      <c r="AF50" s="43">
        <f t="shared" si="6"/>
        <v>0.43141786666666659</v>
      </c>
      <c r="AG50" s="47">
        <v>0</v>
      </c>
      <c r="AH50" s="48">
        <f t="shared" si="7"/>
        <v>0.19303768666666665</v>
      </c>
      <c r="AI50" s="47">
        <v>0</v>
      </c>
      <c r="AJ50" s="49">
        <f t="shared" si="8"/>
        <v>2.1234145533333333</v>
      </c>
      <c r="AK50" s="50"/>
    </row>
    <row r="51" spans="1:37" ht="15" customHeight="1" thickTop="1" thickBot="1" x14ac:dyDescent="0.4">
      <c r="A51" s="35">
        <v>15</v>
      </c>
      <c r="B51" s="36">
        <v>45932</v>
      </c>
      <c r="C51" s="35" t="s">
        <v>0</v>
      </c>
      <c r="D51" s="35"/>
      <c r="E51" s="51" t="s">
        <v>75</v>
      </c>
      <c r="F51" s="35" t="s">
        <v>45</v>
      </c>
      <c r="G51" s="35"/>
      <c r="H51" s="38" t="s">
        <v>46</v>
      </c>
      <c r="I51" s="35" t="s">
        <v>76</v>
      </c>
      <c r="J51" s="38" t="s">
        <v>48</v>
      </c>
      <c r="K51" s="38" t="s">
        <v>49</v>
      </c>
      <c r="L51" s="39"/>
      <c r="M51" s="40"/>
      <c r="N51" s="41"/>
      <c r="O51" s="42" t="s">
        <v>50</v>
      </c>
      <c r="P51" s="43">
        <v>180</v>
      </c>
      <c r="Q51" s="43"/>
      <c r="R51" s="43">
        <v>0</v>
      </c>
      <c r="S51" s="44">
        <v>44</v>
      </c>
      <c r="T51" s="43">
        <f>T50</f>
        <v>7.75</v>
      </c>
      <c r="U51" s="43">
        <f>U50</f>
        <v>18</v>
      </c>
      <c r="V51" s="43">
        <f>T51*U51*P51*2/1550</f>
        <v>32.4</v>
      </c>
      <c r="W51" s="43">
        <f t="shared" si="0"/>
        <v>1.4256</v>
      </c>
      <c r="X51" s="46">
        <f t="shared" si="1"/>
        <v>0.97199999999999998</v>
      </c>
      <c r="Y51" s="43">
        <f t="shared" si="38"/>
        <v>4.2768E-2</v>
      </c>
      <c r="Z51" s="43">
        <f t="shared" si="39"/>
        <v>1.4683679999999999</v>
      </c>
      <c r="AA51" s="43">
        <v>6.8</v>
      </c>
      <c r="AB51" s="43">
        <f t="shared" si="40"/>
        <v>0.22692959999999998</v>
      </c>
      <c r="AC51" s="43">
        <f t="shared" si="31"/>
        <v>0.16666666666666666</v>
      </c>
      <c r="AD51" s="47">
        <v>0</v>
      </c>
      <c r="AE51" s="47">
        <v>0</v>
      </c>
      <c r="AF51" s="43">
        <f t="shared" si="6"/>
        <v>0.39359626666666664</v>
      </c>
      <c r="AG51" s="47">
        <v>0</v>
      </c>
      <c r="AH51" s="48">
        <f t="shared" si="7"/>
        <v>0.18619642666666666</v>
      </c>
      <c r="AI51" s="47">
        <v>0</v>
      </c>
      <c r="AJ51" s="49">
        <f t="shared" si="8"/>
        <v>2.0481606933333332</v>
      </c>
      <c r="AK51" s="50"/>
    </row>
    <row r="52" spans="1:37" ht="15" customHeight="1" thickTop="1" thickBot="1" x14ac:dyDescent="0.4">
      <c r="A52" s="35">
        <v>16</v>
      </c>
      <c r="B52" s="36">
        <v>45932</v>
      </c>
      <c r="C52" s="35" t="s">
        <v>0</v>
      </c>
      <c r="D52" s="70"/>
      <c r="E52" s="51" t="s">
        <v>77</v>
      </c>
      <c r="F52" s="70" t="s">
        <v>45</v>
      </c>
      <c r="G52" s="70" t="s">
        <v>62</v>
      </c>
      <c r="H52" s="70"/>
      <c r="I52" s="70"/>
      <c r="J52" s="70"/>
      <c r="K52" s="70"/>
      <c r="L52" s="39">
        <v>100</v>
      </c>
      <c r="M52" s="40">
        <v>100</v>
      </c>
      <c r="N52" s="89"/>
      <c r="O52" s="42" t="s">
        <v>50</v>
      </c>
      <c r="P52" s="43">
        <v>230</v>
      </c>
      <c r="Q52" s="43"/>
      <c r="R52" s="43">
        <v>0</v>
      </c>
      <c r="S52" s="44"/>
      <c r="T52" s="45"/>
      <c r="U52" s="45"/>
      <c r="V52" s="43"/>
      <c r="W52" s="43"/>
      <c r="X52" s="46"/>
      <c r="Y52" s="43"/>
      <c r="Z52" s="43"/>
      <c r="AA52" s="43"/>
      <c r="AB52" s="43"/>
      <c r="AC52" s="43"/>
      <c r="AD52" s="47"/>
      <c r="AE52" s="47"/>
      <c r="AF52" s="43"/>
      <c r="AG52" s="47"/>
      <c r="AH52" s="48"/>
      <c r="AI52" s="47"/>
      <c r="AJ52" s="49"/>
      <c r="AK52" s="71"/>
    </row>
    <row r="53" spans="1:37" ht="15" customHeight="1" thickTop="1" thickBot="1" x14ac:dyDescent="0.4">
      <c r="A53" s="35">
        <v>16</v>
      </c>
      <c r="B53" s="36">
        <v>45932</v>
      </c>
      <c r="C53" s="35" t="s">
        <v>0</v>
      </c>
      <c r="D53" s="70"/>
      <c r="E53" s="51" t="s">
        <v>77</v>
      </c>
      <c r="F53" s="70" t="s">
        <v>45</v>
      </c>
      <c r="G53" s="70" t="s">
        <v>62</v>
      </c>
      <c r="H53" s="70"/>
      <c r="I53" s="70"/>
      <c r="J53" s="70"/>
      <c r="K53" s="70"/>
      <c r="L53" s="39"/>
      <c r="M53" s="40"/>
      <c r="N53" s="89"/>
      <c r="O53" s="42" t="s">
        <v>51</v>
      </c>
      <c r="P53" s="43">
        <v>120</v>
      </c>
      <c r="Q53" s="43"/>
      <c r="R53" s="43">
        <v>0</v>
      </c>
      <c r="S53" s="44"/>
      <c r="T53" s="43"/>
      <c r="U53" s="43"/>
      <c r="V53" s="43"/>
      <c r="W53" s="43"/>
      <c r="X53" s="46"/>
      <c r="Y53" s="43"/>
      <c r="Z53" s="43"/>
      <c r="AA53" s="43"/>
      <c r="AB53" s="43"/>
      <c r="AC53" s="43"/>
      <c r="AD53" s="47"/>
      <c r="AE53" s="47"/>
      <c r="AF53" s="43"/>
      <c r="AG53" s="47"/>
      <c r="AH53" s="48"/>
      <c r="AI53" s="47"/>
      <c r="AJ53" s="49"/>
      <c r="AK53" s="71"/>
    </row>
    <row r="54" spans="1:37" ht="15" customHeight="1" thickTop="1" thickBot="1" x14ac:dyDescent="0.4">
      <c r="A54" s="35">
        <v>16</v>
      </c>
      <c r="B54" s="36">
        <v>45932</v>
      </c>
      <c r="C54" s="35" t="s">
        <v>0</v>
      </c>
      <c r="D54" s="70"/>
      <c r="E54" s="51" t="s">
        <v>77</v>
      </c>
      <c r="F54" s="70" t="s">
        <v>45</v>
      </c>
      <c r="G54" s="70" t="s">
        <v>62</v>
      </c>
      <c r="H54" s="70"/>
      <c r="I54" s="70"/>
      <c r="J54" s="70"/>
      <c r="K54" s="70"/>
      <c r="L54" s="39"/>
      <c r="M54" s="40"/>
      <c r="N54" s="89"/>
      <c r="O54" s="42" t="s">
        <v>50</v>
      </c>
      <c r="P54" s="43">
        <v>120</v>
      </c>
      <c r="Q54" s="43"/>
      <c r="R54" s="43">
        <v>0</v>
      </c>
      <c r="S54" s="44"/>
      <c r="T54" s="43"/>
      <c r="U54" s="43"/>
      <c r="V54" s="43"/>
      <c r="W54" s="43"/>
      <c r="X54" s="46"/>
      <c r="Y54" s="43"/>
      <c r="Z54" s="43"/>
      <c r="AA54" s="43"/>
      <c r="AB54" s="43"/>
      <c r="AC54" s="43"/>
      <c r="AD54" s="47"/>
      <c r="AE54" s="47"/>
      <c r="AF54" s="43"/>
      <c r="AG54" s="47"/>
      <c r="AH54" s="48"/>
      <c r="AI54" s="47"/>
      <c r="AJ54" s="49"/>
      <c r="AK54" s="71"/>
    </row>
    <row r="55" spans="1:37" ht="15" customHeight="1" thickTop="1" thickBot="1" x14ac:dyDescent="0.4">
      <c r="A55" s="35">
        <v>17</v>
      </c>
      <c r="B55" s="36">
        <v>45932</v>
      </c>
      <c r="C55" s="35" t="s">
        <v>0</v>
      </c>
      <c r="D55" s="70"/>
      <c r="E55" s="51" t="s">
        <v>78</v>
      </c>
      <c r="F55" s="70" t="s">
        <v>45</v>
      </c>
      <c r="G55" s="70" t="s">
        <v>62</v>
      </c>
      <c r="H55" s="70"/>
      <c r="I55" s="70"/>
      <c r="J55" s="70"/>
      <c r="K55" s="70"/>
      <c r="L55" s="39">
        <v>100</v>
      </c>
      <c r="M55" s="40">
        <v>100</v>
      </c>
      <c r="N55" s="89"/>
      <c r="O55" s="42" t="s">
        <v>50</v>
      </c>
      <c r="P55" s="43">
        <v>230</v>
      </c>
      <c r="Q55" s="43"/>
      <c r="R55" s="43">
        <v>0</v>
      </c>
      <c r="S55" s="44"/>
      <c r="T55" s="45"/>
      <c r="U55" s="45"/>
      <c r="V55" s="43"/>
      <c r="W55" s="43"/>
      <c r="X55" s="46"/>
      <c r="Y55" s="43"/>
      <c r="Z55" s="43"/>
      <c r="AA55" s="43"/>
      <c r="AB55" s="43"/>
      <c r="AC55" s="43"/>
      <c r="AD55" s="47"/>
      <c r="AE55" s="47"/>
      <c r="AF55" s="43"/>
      <c r="AG55" s="47"/>
      <c r="AH55" s="48"/>
      <c r="AI55" s="47"/>
      <c r="AJ55" s="49"/>
      <c r="AK55" s="71"/>
    </row>
    <row r="56" spans="1:37" ht="15" customHeight="1" thickTop="1" thickBot="1" x14ac:dyDescent="0.4">
      <c r="A56" s="35">
        <v>17</v>
      </c>
      <c r="B56" s="36">
        <v>45932</v>
      </c>
      <c r="C56" s="35" t="s">
        <v>0</v>
      </c>
      <c r="D56" s="70"/>
      <c r="E56" s="51" t="s">
        <v>78</v>
      </c>
      <c r="F56" s="70" t="s">
        <v>45</v>
      </c>
      <c r="G56" s="70" t="s">
        <v>62</v>
      </c>
      <c r="H56" s="70"/>
      <c r="I56" s="70"/>
      <c r="J56" s="70"/>
      <c r="K56" s="70"/>
      <c r="L56" s="39"/>
      <c r="M56" s="40"/>
      <c r="N56" s="89"/>
      <c r="O56" s="42" t="s">
        <v>51</v>
      </c>
      <c r="P56" s="43">
        <v>120</v>
      </c>
      <c r="Q56" s="43"/>
      <c r="R56" s="43">
        <v>0</v>
      </c>
      <c r="S56" s="44"/>
      <c r="T56" s="43"/>
      <c r="U56" s="43"/>
      <c r="V56" s="43"/>
      <c r="W56" s="43"/>
      <c r="X56" s="46"/>
      <c r="Y56" s="43"/>
      <c r="Z56" s="43"/>
      <c r="AA56" s="43"/>
      <c r="AB56" s="43"/>
      <c r="AC56" s="43"/>
      <c r="AD56" s="47"/>
      <c r="AE56" s="47"/>
      <c r="AF56" s="43"/>
      <c r="AG56" s="47"/>
      <c r="AH56" s="48"/>
      <c r="AI56" s="47"/>
      <c r="AJ56" s="49"/>
      <c r="AK56" s="71"/>
    </row>
    <row r="57" spans="1:37" ht="15" customHeight="1" thickTop="1" thickBot="1" x14ac:dyDescent="0.4">
      <c r="A57" s="35">
        <v>17</v>
      </c>
      <c r="B57" s="36">
        <v>45932</v>
      </c>
      <c r="C57" s="35" t="s">
        <v>0</v>
      </c>
      <c r="D57" s="70"/>
      <c r="E57" s="51" t="s">
        <v>78</v>
      </c>
      <c r="F57" s="70" t="s">
        <v>45</v>
      </c>
      <c r="G57" s="70" t="s">
        <v>62</v>
      </c>
      <c r="H57" s="70"/>
      <c r="I57" s="70"/>
      <c r="J57" s="70"/>
      <c r="K57" s="70"/>
      <c r="L57" s="39"/>
      <c r="M57" s="40"/>
      <c r="N57" s="89"/>
      <c r="O57" s="42" t="s">
        <v>50</v>
      </c>
      <c r="P57" s="43">
        <v>120</v>
      </c>
      <c r="Q57" s="43"/>
      <c r="R57" s="43">
        <v>0</v>
      </c>
      <c r="S57" s="44"/>
      <c r="T57" s="43"/>
      <c r="U57" s="43"/>
      <c r="V57" s="43"/>
      <c r="W57" s="43"/>
      <c r="X57" s="46"/>
      <c r="Y57" s="43"/>
      <c r="Z57" s="43"/>
      <c r="AA57" s="43"/>
      <c r="AB57" s="43"/>
      <c r="AC57" s="43"/>
      <c r="AD57" s="47"/>
      <c r="AE57" s="47"/>
      <c r="AF57" s="43"/>
      <c r="AG57" s="47"/>
      <c r="AH57" s="48"/>
      <c r="AI57" s="47"/>
      <c r="AJ57" s="49"/>
      <c r="AK57" s="71"/>
    </row>
    <row r="58" spans="1:37" ht="15" customHeight="1" thickTop="1" thickBot="1" x14ac:dyDescent="0.4">
      <c r="A58" s="35">
        <v>18</v>
      </c>
      <c r="B58" s="36">
        <v>45932</v>
      </c>
      <c r="C58" s="35" t="s">
        <v>0</v>
      </c>
      <c r="D58" s="70"/>
      <c r="E58" s="51" t="s">
        <v>79</v>
      </c>
      <c r="F58" s="70" t="s">
        <v>45</v>
      </c>
      <c r="G58" s="70" t="s">
        <v>62</v>
      </c>
      <c r="H58" s="70"/>
      <c r="I58" s="70"/>
      <c r="J58" s="70"/>
      <c r="K58" s="70"/>
      <c r="L58" s="39">
        <v>100</v>
      </c>
      <c r="M58" s="40">
        <v>100</v>
      </c>
      <c r="N58" s="89"/>
      <c r="O58" s="42" t="s">
        <v>50</v>
      </c>
      <c r="P58" s="43">
        <v>230</v>
      </c>
      <c r="Q58" s="43"/>
      <c r="R58" s="43">
        <v>0</v>
      </c>
      <c r="S58" s="44"/>
      <c r="T58" s="45"/>
      <c r="U58" s="45"/>
      <c r="V58" s="43"/>
      <c r="W58" s="43"/>
      <c r="X58" s="46"/>
      <c r="Y58" s="43"/>
      <c r="Z58" s="43"/>
      <c r="AA58" s="43"/>
      <c r="AB58" s="43"/>
      <c r="AC58" s="43"/>
      <c r="AD58" s="47"/>
      <c r="AE58" s="47"/>
      <c r="AF58" s="43"/>
      <c r="AG58" s="47"/>
      <c r="AH58" s="48"/>
      <c r="AI58" s="47"/>
      <c r="AJ58" s="49"/>
      <c r="AK58" s="71"/>
    </row>
    <row r="59" spans="1:37" ht="15" customHeight="1" thickTop="1" thickBot="1" x14ac:dyDescent="0.4">
      <c r="A59" s="35">
        <v>18</v>
      </c>
      <c r="B59" s="36">
        <v>45932</v>
      </c>
      <c r="C59" s="35" t="s">
        <v>0</v>
      </c>
      <c r="D59" s="70"/>
      <c r="E59" s="51" t="s">
        <v>79</v>
      </c>
      <c r="F59" s="70" t="s">
        <v>45</v>
      </c>
      <c r="G59" s="70" t="s">
        <v>62</v>
      </c>
      <c r="H59" s="70"/>
      <c r="I59" s="70"/>
      <c r="J59" s="70"/>
      <c r="K59" s="70"/>
      <c r="L59" s="39"/>
      <c r="M59" s="40"/>
      <c r="N59" s="89"/>
      <c r="O59" s="42" t="s">
        <v>51</v>
      </c>
      <c r="P59" s="43">
        <v>120</v>
      </c>
      <c r="Q59" s="43"/>
      <c r="R59" s="43">
        <v>0</v>
      </c>
      <c r="S59" s="44"/>
      <c r="T59" s="43"/>
      <c r="U59" s="43"/>
      <c r="V59" s="43"/>
      <c r="W59" s="43"/>
      <c r="X59" s="46"/>
      <c r="Y59" s="43"/>
      <c r="Z59" s="43"/>
      <c r="AA59" s="43"/>
      <c r="AB59" s="43"/>
      <c r="AC59" s="43"/>
      <c r="AD59" s="47"/>
      <c r="AE59" s="47"/>
      <c r="AF59" s="43"/>
      <c r="AG59" s="47"/>
      <c r="AH59" s="48"/>
      <c r="AI59" s="47"/>
      <c r="AJ59" s="49"/>
      <c r="AK59" s="71"/>
    </row>
    <row r="60" spans="1:37" ht="15" customHeight="1" thickTop="1" thickBot="1" x14ac:dyDescent="0.4">
      <c r="A60" s="35">
        <v>18</v>
      </c>
      <c r="B60" s="36">
        <v>45932</v>
      </c>
      <c r="C60" s="35" t="s">
        <v>0</v>
      </c>
      <c r="D60" s="70"/>
      <c r="E60" s="51" t="s">
        <v>79</v>
      </c>
      <c r="F60" s="70" t="s">
        <v>45</v>
      </c>
      <c r="G60" s="70" t="s">
        <v>62</v>
      </c>
      <c r="H60" s="70"/>
      <c r="I60" s="70"/>
      <c r="J60" s="70"/>
      <c r="K60" s="70"/>
      <c r="L60" s="39"/>
      <c r="M60" s="40"/>
      <c r="N60" s="89"/>
      <c r="O60" s="42" t="s">
        <v>50</v>
      </c>
      <c r="P60" s="43">
        <v>120</v>
      </c>
      <c r="Q60" s="43"/>
      <c r="R60" s="43">
        <v>0</v>
      </c>
      <c r="S60" s="44"/>
      <c r="T60" s="43"/>
      <c r="U60" s="43"/>
      <c r="V60" s="43"/>
      <c r="W60" s="43"/>
      <c r="X60" s="46"/>
      <c r="Y60" s="43"/>
      <c r="Z60" s="43"/>
      <c r="AA60" s="43"/>
      <c r="AB60" s="43"/>
      <c r="AC60" s="43"/>
      <c r="AD60" s="47"/>
      <c r="AE60" s="47"/>
      <c r="AF60" s="43"/>
      <c r="AG60" s="47"/>
      <c r="AH60" s="48"/>
      <c r="AI60" s="47"/>
      <c r="AJ60" s="49"/>
      <c r="AK60" s="71"/>
    </row>
    <row r="61" spans="1:37" ht="15" customHeight="1" thickTop="1" thickBot="1" x14ac:dyDescent="0.4">
      <c r="A61" s="35">
        <v>19</v>
      </c>
      <c r="B61" s="36">
        <v>45932</v>
      </c>
      <c r="C61" s="35" t="s">
        <v>0</v>
      </c>
      <c r="D61" s="70"/>
      <c r="E61" s="51" t="s">
        <v>80</v>
      </c>
      <c r="F61" s="70" t="s">
        <v>45</v>
      </c>
      <c r="G61" s="70" t="s">
        <v>62</v>
      </c>
      <c r="H61" s="70"/>
      <c r="I61" s="70"/>
      <c r="J61" s="70"/>
      <c r="K61" s="70"/>
      <c r="L61" s="39">
        <v>100</v>
      </c>
      <c r="M61" s="40">
        <v>100</v>
      </c>
      <c r="N61" s="89"/>
      <c r="O61" s="42" t="s">
        <v>50</v>
      </c>
      <c r="P61" s="43">
        <v>230</v>
      </c>
      <c r="Q61" s="43"/>
      <c r="R61" s="43">
        <v>0</v>
      </c>
      <c r="S61" s="44"/>
      <c r="T61" s="45"/>
      <c r="U61" s="45"/>
      <c r="V61" s="43"/>
      <c r="W61" s="43"/>
      <c r="X61" s="46"/>
      <c r="Y61" s="43"/>
      <c r="Z61" s="43"/>
      <c r="AA61" s="43"/>
      <c r="AB61" s="43"/>
      <c r="AC61" s="43"/>
      <c r="AD61" s="47"/>
      <c r="AE61" s="47"/>
      <c r="AF61" s="43"/>
      <c r="AG61" s="47"/>
      <c r="AH61" s="48"/>
      <c r="AI61" s="47"/>
      <c r="AJ61" s="49"/>
      <c r="AK61" s="71"/>
    </row>
    <row r="62" spans="1:37" ht="15" customHeight="1" thickTop="1" thickBot="1" x14ac:dyDescent="0.4">
      <c r="A62" s="35">
        <v>19</v>
      </c>
      <c r="B62" s="36">
        <v>45932</v>
      </c>
      <c r="C62" s="35" t="s">
        <v>0</v>
      </c>
      <c r="D62" s="70"/>
      <c r="E62" s="51" t="s">
        <v>80</v>
      </c>
      <c r="F62" s="70" t="s">
        <v>45</v>
      </c>
      <c r="G62" s="70" t="s">
        <v>62</v>
      </c>
      <c r="H62" s="70"/>
      <c r="I62" s="70"/>
      <c r="J62" s="70"/>
      <c r="K62" s="70"/>
      <c r="L62" s="39"/>
      <c r="M62" s="40"/>
      <c r="N62" s="89"/>
      <c r="O62" s="42" t="s">
        <v>51</v>
      </c>
      <c r="P62" s="43">
        <v>120</v>
      </c>
      <c r="Q62" s="43"/>
      <c r="R62" s="43">
        <v>0</v>
      </c>
      <c r="S62" s="44"/>
      <c r="T62" s="43"/>
      <c r="U62" s="43"/>
      <c r="V62" s="43"/>
      <c r="W62" s="43"/>
      <c r="X62" s="46"/>
      <c r="Y62" s="43"/>
      <c r="Z62" s="43"/>
      <c r="AA62" s="43"/>
      <c r="AB62" s="43"/>
      <c r="AC62" s="43"/>
      <c r="AD62" s="47"/>
      <c r="AE62" s="47"/>
      <c r="AF62" s="43"/>
      <c r="AG62" s="47"/>
      <c r="AH62" s="48"/>
      <c r="AI62" s="47"/>
      <c r="AJ62" s="49"/>
      <c r="AK62" s="71"/>
    </row>
    <row r="63" spans="1:37" ht="15" customHeight="1" thickTop="1" thickBot="1" x14ac:dyDescent="0.4">
      <c r="A63" s="35">
        <v>19</v>
      </c>
      <c r="B63" s="36">
        <v>45932</v>
      </c>
      <c r="C63" s="35" t="s">
        <v>0</v>
      </c>
      <c r="D63" s="70"/>
      <c r="E63" s="51" t="s">
        <v>80</v>
      </c>
      <c r="F63" s="70" t="s">
        <v>45</v>
      </c>
      <c r="G63" s="70" t="s">
        <v>62</v>
      </c>
      <c r="H63" s="70"/>
      <c r="I63" s="70"/>
      <c r="J63" s="70"/>
      <c r="K63" s="70"/>
      <c r="L63" s="39"/>
      <c r="M63" s="40"/>
      <c r="N63" s="89"/>
      <c r="O63" s="42" t="s">
        <v>50</v>
      </c>
      <c r="P63" s="43">
        <v>120</v>
      </c>
      <c r="Q63" s="43"/>
      <c r="R63" s="43">
        <v>0</v>
      </c>
      <c r="S63" s="44"/>
      <c r="T63" s="43"/>
      <c r="U63" s="43"/>
      <c r="V63" s="43"/>
      <c r="W63" s="43"/>
      <c r="X63" s="46"/>
      <c r="Y63" s="43"/>
      <c r="Z63" s="43"/>
      <c r="AA63" s="43"/>
      <c r="AB63" s="43"/>
      <c r="AC63" s="43"/>
      <c r="AD63" s="47"/>
      <c r="AE63" s="47"/>
      <c r="AF63" s="43"/>
      <c r="AG63" s="47"/>
      <c r="AH63" s="48"/>
      <c r="AI63" s="47"/>
      <c r="AJ63" s="49"/>
      <c r="AK63" s="71"/>
    </row>
    <row r="64" spans="1:37" ht="15" customHeight="1" thickTop="1" thickBot="1" x14ac:dyDescent="0.4">
      <c r="A64" s="35">
        <v>20</v>
      </c>
      <c r="B64" s="36">
        <v>45932</v>
      </c>
      <c r="C64" s="35" t="s">
        <v>0</v>
      </c>
      <c r="D64" s="90"/>
      <c r="E64" s="51" t="s">
        <v>81</v>
      </c>
      <c r="F64" s="90" t="s">
        <v>45</v>
      </c>
      <c r="G64" s="90"/>
      <c r="H64" s="38" t="s">
        <v>46</v>
      </c>
      <c r="I64" s="35" t="s">
        <v>71</v>
      </c>
      <c r="J64" s="90"/>
      <c r="K64" s="35" t="s">
        <v>72</v>
      </c>
      <c r="L64" s="39">
        <v>100</v>
      </c>
      <c r="M64" s="40">
        <v>100</v>
      </c>
      <c r="N64" s="89"/>
      <c r="O64" s="42" t="s">
        <v>50</v>
      </c>
      <c r="P64" s="43">
        <v>230</v>
      </c>
      <c r="Q64" s="43"/>
      <c r="R64" s="43">
        <v>0</v>
      </c>
      <c r="S64" s="44">
        <v>44</v>
      </c>
      <c r="T64" s="45">
        <f>(M64+15)/25.4</f>
        <v>4.5275590551181102</v>
      </c>
      <c r="U64" s="45">
        <f>(L64+15)/25.4</f>
        <v>4.5275590551181102</v>
      </c>
      <c r="V64" s="43">
        <f>T65*U65*P64/1550</f>
        <v>4.2661290322580649</v>
      </c>
      <c r="W64" s="43">
        <f t="shared" si="0"/>
        <v>0.18770967741935485</v>
      </c>
      <c r="X64" s="46">
        <f t="shared" si="1"/>
        <v>0.12798387096774194</v>
      </c>
      <c r="Y64" s="43">
        <f>S64*X64/1000</f>
        <v>5.631290322580646E-3</v>
      </c>
      <c r="Z64" s="43">
        <f>W64+Y64</f>
        <v>0.19334096774193549</v>
      </c>
      <c r="AA64" s="43">
        <v>6.8</v>
      </c>
      <c r="AB64" s="43">
        <f>(V64+X64)*AA64/1000</f>
        <v>2.9879967741935486E-2</v>
      </c>
      <c r="AC64" s="43">
        <f t="shared" si="31"/>
        <v>0.16666666666666666</v>
      </c>
      <c r="AD64" s="47">
        <v>0</v>
      </c>
      <c r="AE64" s="47">
        <v>0</v>
      </c>
      <c r="AF64" s="43">
        <f t="shared" si="6"/>
        <v>0.19654663440860215</v>
      </c>
      <c r="AG64" s="47">
        <v>0</v>
      </c>
      <c r="AH64" s="48">
        <f t="shared" si="7"/>
        <v>3.8988760215053764E-2</v>
      </c>
      <c r="AI64" s="47">
        <v>0</v>
      </c>
      <c r="AJ64" s="49">
        <f t="shared" si="8"/>
        <v>0.4288763623655914</v>
      </c>
      <c r="AK64" s="50">
        <f t="shared" si="9"/>
        <v>1.2809885745161289</v>
      </c>
    </row>
    <row r="65" spans="1:37" ht="15" customHeight="1" thickTop="1" thickBot="1" x14ac:dyDescent="0.4">
      <c r="A65" s="35">
        <v>20</v>
      </c>
      <c r="B65" s="36">
        <v>45932</v>
      </c>
      <c r="C65" s="35" t="s">
        <v>0</v>
      </c>
      <c r="D65" s="90"/>
      <c r="E65" s="51" t="s">
        <v>81</v>
      </c>
      <c r="F65" s="90" t="s">
        <v>45</v>
      </c>
      <c r="G65" s="90"/>
      <c r="H65" s="38" t="s">
        <v>46</v>
      </c>
      <c r="I65" s="35" t="s">
        <v>71</v>
      </c>
      <c r="J65" s="90"/>
      <c r="K65" s="35" t="s">
        <v>72</v>
      </c>
      <c r="L65" s="39"/>
      <c r="M65" s="40"/>
      <c r="N65" s="89"/>
      <c r="O65" s="42" t="s">
        <v>51</v>
      </c>
      <c r="P65" s="43">
        <v>180</v>
      </c>
      <c r="Q65" s="43"/>
      <c r="R65" s="43">
        <v>0</v>
      </c>
      <c r="S65" s="44">
        <v>38.5</v>
      </c>
      <c r="T65" s="43">
        <f>ROUNDUP($T64,0)+0.75</f>
        <v>5.75</v>
      </c>
      <c r="U65" s="43">
        <f>CEILING($U64,0.5)</f>
        <v>5</v>
      </c>
      <c r="V65" s="43">
        <f>T65*U65*P65*1.4/1550</f>
        <v>4.6741935483870964</v>
      </c>
      <c r="W65" s="43">
        <f t="shared" si="0"/>
        <v>0.17995645161290322</v>
      </c>
      <c r="X65" s="46">
        <f t="shared" si="1"/>
        <v>0.14022580645161289</v>
      </c>
      <c r="Y65" s="43">
        <f t="shared" ref="Y65:Y66" si="41">S65*X65/1000</f>
        <v>5.3986935483870966E-3</v>
      </c>
      <c r="Z65" s="43">
        <f t="shared" ref="Z65:Z66" si="42">W65+Y65</f>
        <v>0.18535514516129031</v>
      </c>
      <c r="AA65" s="43">
        <v>6.8</v>
      </c>
      <c r="AB65" s="43">
        <f t="shared" ref="AB65:AB66" si="43">(V65+X65)*AA65/1000</f>
        <v>3.2738051612903225E-2</v>
      </c>
      <c r="AC65" s="43">
        <f t="shared" si="31"/>
        <v>0.16666666666666666</v>
      </c>
      <c r="AD65" s="47">
        <v>0</v>
      </c>
      <c r="AE65" s="47">
        <v>0</v>
      </c>
      <c r="AF65" s="43">
        <f t="shared" si="6"/>
        <v>0.19940471827956988</v>
      </c>
      <c r="AG65" s="47">
        <v>0</v>
      </c>
      <c r="AH65" s="48">
        <f t="shared" si="7"/>
        <v>3.8475986344086027E-2</v>
      </c>
      <c r="AI65" s="47">
        <v>0</v>
      </c>
      <c r="AJ65" s="49">
        <f t="shared" si="8"/>
        <v>0.42323584978494622</v>
      </c>
      <c r="AK65" s="50"/>
    </row>
    <row r="66" spans="1:37" ht="15" customHeight="1" thickTop="1" thickBot="1" x14ac:dyDescent="0.4">
      <c r="A66" s="35">
        <v>20</v>
      </c>
      <c r="B66" s="36">
        <v>45932</v>
      </c>
      <c r="C66" s="35" t="s">
        <v>0</v>
      </c>
      <c r="D66" s="90"/>
      <c r="E66" s="51" t="s">
        <v>81</v>
      </c>
      <c r="F66" s="90" t="s">
        <v>45</v>
      </c>
      <c r="G66" s="90"/>
      <c r="H66" s="38" t="s">
        <v>46</v>
      </c>
      <c r="I66" s="35" t="s">
        <v>71</v>
      </c>
      <c r="J66" s="90"/>
      <c r="K66" s="35" t="s">
        <v>72</v>
      </c>
      <c r="L66" s="39"/>
      <c r="M66" s="40"/>
      <c r="N66" s="89"/>
      <c r="O66" s="42" t="s">
        <v>50</v>
      </c>
      <c r="P66" s="43">
        <v>230</v>
      </c>
      <c r="Q66" s="43"/>
      <c r="R66" s="43">
        <v>0</v>
      </c>
      <c r="S66" s="44">
        <v>44</v>
      </c>
      <c r="T66" s="43">
        <f>T65</f>
        <v>5.75</v>
      </c>
      <c r="U66" s="43">
        <f>U65</f>
        <v>5</v>
      </c>
      <c r="V66" s="43">
        <f>T66*U66*P66/1550</f>
        <v>4.2661290322580649</v>
      </c>
      <c r="W66" s="43">
        <f t="shared" si="0"/>
        <v>0.18770967741935485</v>
      </c>
      <c r="X66" s="46">
        <f t="shared" si="1"/>
        <v>0.12798387096774194</v>
      </c>
      <c r="Y66" s="43">
        <f t="shared" si="41"/>
        <v>5.631290322580646E-3</v>
      </c>
      <c r="Z66" s="43">
        <f t="shared" si="42"/>
        <v>0.19334096774193549</v>
      </c>
      <c r="AA66" s="43">
        <v>6.8</v>
      </c>
      <c r="AB66" s="43">
        <f t="shared" si="43"/>
        <v>2.9879967741935486E-2</v>
      </c>
      <c r="AC66" s="43">
        <f t="shared" si="31"/>
        <v>0.16666666666666666</v>
      </c>
      <c r="AD66" s="47">
        <v>0</v>
      </c>
      <c r="AE66" s="47">
        <v>0</v>
      </c>
      <c r="AF66" s="43">
        <f t="shared" si="6"/>
        <v>0.19654663440860215</v>
      </c>
      <c r="AG66" s="47">
        <v>0</v>
      </c>
      <c r="AH66" s="48">
        <f t="shared" si="7"/>
        <v>3.8988760215053764E-2</v>
      </c>
      <c r="AI66" s="47">
        <v>0</v>
      </c>
      <c r="AJ66" s="49">
        <f t="shared" si="8"/>
        <v>0.4288763623655914</v>
      </c>
      <c r="AK66" s="50"/>
    </row>
    <row r="67" spans="1:37" ht="15" customHeight="1" thickTop="1" thickBot="1" x14ac:dyDescent="0.4">
      <c r="A67" s="35">
        <v>21</v>
      </c>
      <c r="B67" s="36">
        <v>45932</v>
      </c>
      <c r="C67" s="35" t="s">
        <v>0</v>
      </c>
      <c r="D67" s="90"/>
      <c r="E67" s="51" t="s">
        <v>82</v>
      </c>
      <c r="F67" s="90" t="s">
        <v>45</v>
      </c>
      <c r="G67" s="90"/>
      <c r="H67" s="38" t="s">
        <v>55</v>
      </c>
      <c r="I67" s="35" t="s">
        <v>71</v>
      </c>
      <c r="J67" s="90"/>
      <c r="K67" s="35" t="s">
        <v>72</v>
      </c>
      <c r="L67" s="39">
        <v>100</v>
      </c>
      <c r="M67" s="40">
        <v>100</v>
      </c>
      <c r="N67" s="89"/>
      <c r="O67" s="42" t="s">
        <v>50</v>
      </c>
      <c r="P67" s="43">
        <v>230</v>
      </c>
      <c r="Q67" s="43"/>
      <c r="R67" s="43">
        <v>0</v>
      </c>
      <c r="S67" s="44">
        <v>44</v>
      </c>
      <c r="T67" s="45">
        <f>(M67+15)/25.4</f>
        <v>4.5275590551181102</v>
      </c>
      <c r="U67" s="45">
        <f>(L67+15)/25.4</f>
        <v>4.5275590551181102</v>
      </c>
      <c r="V67" s="43">
        <f>T68*U68*P67/1550</f>
        <v>4.2661290322580649</v>
      </c>
      <c r="W67" s="43">
        <f t="shared" si="0"/>
        <v>0.18770967741935485</v>
      </c>
      <c r="X67" s="46">
        <f t="shared" si="1"/>
        <v>0.12798387096774194</v>
      </c>
      <c r="Y67" s="43">
        <f>S67*X67/1000</f>
        <v>5.631290322580646E-3</v>
      </c>
      <c r="Z67" s="43">
        <f>W67+Y67</f>
        <v>0.19334096774193549</v>
      </c>
      <c r="AA67" s="43">
        <v>6.8</v>
      </c>
      <c r="AB67" s="43">
        <f>(V67+X67)*AA67/1000</f>
        <v>2.9879967741935486E-2</v>
      </c>
      <c r="AC67" s="43">
        <f t="shared" si="31"/>
        <v>0.16666666666666666</v>
      </c>
      <c r="AD67" s="47">
        <v>0</v>
      </c>
      <c r="AE67" s="47">
        <v>0</v>
      </c>
      <c r="AF67" s="43">
        <f t="shared" si="6"/>
        <v>0.19654663440860215</v>
      </c>
      <c r="AG67" s="47">
        <v>0</v>
      </c>
      <c r="AH67" s="48">
        <f t="shared" si="7"/>
        <v>3.8988760215053764E-2</v>
      </c>
      <c r="AI67" s="47">
        <v>0</v>
      </c>
      <c r="AJ67" s="49">
        <f t="shared" si="8"/>
        <v>0.4288763623655914</v>
      </c>
      <c r="AK67" s="50">
        <f t="shared" si="9"/>
        <v>1.7664341199999998</v>
      </c>
    </row>
    <row r="68" spans="1:37" ht="15" customHeight="1" thickTop="1" thickBot="1" x14ac:dyDescent="0.4">
      <c r="A68" s="35">
        <v>21</v>
      </c>
      <c r="B68" s="36">
        <v>45932</v>
      </c>
      <c r="C68" s="35" t="s">
        <v>0</v>
      </c>
      <c r="D68" s="90"/>
      <c r="E68" s="51" t="s">
        <v>82</v>
      </c>
      <c r="F68" s="90" t="s">
        <v>45</v>
      </c>
      <c r="G68" s="90"/>
      <c r="H68" s="38" t="s">
        <v>55</v>
      </c>
      <c r="I68" s="35" t="s">
        <v>71</v>
      </c>
      <c r="J68" s="90"/>
      <c r="K68" s="35" t="s">
        <v>72</v>
      </c>
      <c r="L68" s="39"/>
      <c r="M68" s="40"/>
      <c r="N68" s="89"/>
      <c r="O68" s="42" t="s">
        <v>51</v>
      </c>
      <c r="P68" s="43">
        <v>180</v>
      </c>
      <c r="Q68" s="43"/>
      <c r="R68" s="43">
        <v>0</v>
      </c>
      <c r="S68" s="44">
        <v>38.5</v>
      </c>
      <c r="T68" s="43">
        <f>ROUNDUP($T67,0)+0.75</f>
        <v>5.75</v>
      </c>
      <c r="U68" s="43">
        <f>CEILING($U67,0.5)</f>
        <v>5</v>
      </c>
      <c r="V68" s="43">
        <f>T68*U68*P68*1.4*2/1550</f>
        <v>9.3483870967741929</v>
      </c>
      <c r="W68" s="43">
        <f t="shared" si="0"/>
        <v>0.35991290322580644</v>
      </c>
      <c r="X68" s="46">
        <f t="shared" si="1"/>
        <v>0.28045161290322579</v>
      </c>
      <c r="Y68" s="43">
        <f t="shared" ref="Y68:Y69" si="44">S68*X68/1000</f>
        <v>1.0797387096774193E-2</v>
      </c>
      <c r="Z68" s="43">
        <f t="shared" ref="Z68:Z69" si="45">W68+Y68</f>
        <v>0.37071029032258063</v>
      </c>
      <c r="AA68" s="43">
        <v>6.8</v>
      </c>
      <c r="AB68" s="43">
        <f t="shared" ref="AB68:AB69" si="46">(V68+X68)*AA68/1000</f>
        <v>6.5476103225806451E-2</v>
      </c>
      <c r="AC68" s="43">
        <f t="shared" si="31"/>
        <v>0.16666666666666666</v>
      </c>
      <c r="AD68" s="47">
        <v>0</v>
      </c>
      <c r="AE68" s="47">
        <v>0</v>
      </c>
      <c r="AF68" s="43">
        <f t="shared" si="6"/>
        <v>0.23214276989247312</v>
      </c>
      <c r="AG68" s="47">
        <v>0</v>
      </c>
      <c r="AH68" s="48">
        <f t="shared" si="7"/>
        <v>6.0285306021505371E-2</v>
      </c>
      <c r="AI68" s="47">
        <v>0</v>
      </c>
      <c r="AJ68" s="49">
        <f t="shared" si="8"/>
        <v>0.66313836623655908</v>
      </c>
      <c r="AK68" s="50"/>
    </row>
    <row r="69" spans="1:37" ht="15" customHeight="1" thickTop="1" thickBot="1" x14ac:dyDescent="0.4">
      <c r="A69" s="35">
        <v>21</v>
      </c>
      <c r="B69" s="36">
        <v>45932</v>
      </c>
      <c r="C69" s="35" t="s">
        <v>0</v>
      </c>
      <c r="D69" s="90"/>
      <c r="E69" s="51" t="s">
        <v>82</v>
      </c>
      <c r="F69" s="90" t="s">
        <v>45</v>
      </c>
      <c r="G69" s="90"/>
      <c r="H69" s="38" t="s">
        <v>55</v>
      </c>
      <c r="I69" s="35" t="s">
        <v>71</v>
      </c>
      <c r="J69" s="90"/>
      <c r="K69" s="35" t="s">
        <v>72</v>
      </c>
      <c r="L69" s="39"/>
      <c r="M69" s="40"/>
      <c r="N69" s="89"/>
      <c r="O69" s="42" t="s">
        <v>50</v>
      </c>
      <c r="P69" s="43">
        <v>230</v>
      </c>
      <c r="Q69" s="43"/>
      <c r="R69" s="43">
        <v>0</v>
      </c>
      <c r="S69" s="44">
        <v>44</v>
      </c>
      <c r="T69" s="43">
        <f>T68</f>
        <v>5.75</v>
      </c>
      <c r="U69" s="43">
        <f>U68</f>
        <v>5</v>
      </c>
      <c r="V69" s="43">
        <f>T69*U69*P69*2/1550</f>
        <v>8.5322580645161299</v>
      </c>
      <c r="W69" s="43">
        <f t="shared" si="0"/>
        <v>0.3754193548387097</v>
      </c>
      <c r="X69" s="46">
        <f t="shared" si="1"/>
        <v>0.25596774193548388</v>
      </c>
      <c r="Y69" s="43">
        <f t="shared" si="44"/>
        <v>1.1262580645161292E-2</v>
      </c>
      <c r="Z69" s="43">
        <f t="shared" si="45"/>
        <v>0.38668193548387098</v>
      </c>
      <c r="AA69" s="43">
        <v>6.8</v>
      </c>
      <c r="AB69" s="43">
        <f t="shared" si="46"/>
        <v>5.9759935483870971E-2</v>
      </c>
      <c r="AC69" s="43">
        <f t="shared" si="31"/>
        <v>0.16666666666666666</v>
      </c>
      <c r="AD69" s="47">
        <v>0</v>
      </c>
      <c r="AE69" s="47">
        <v>0</v>
      </c>
      <c r="AF69" s="43">
        <f t="shared" si="6"/>
        <v>0.22642660215053761</v>
      </c>
      <c r="AG69" s="47">
        <v>0</v>
      </c>
      <c r="AH69" s="48">
        <f t="shared" si="7"/>
        <v>6.1310853763440858E-2</v>
      </c>
      <c r="AI69" s="47">
        <v>0</v>
      </c>
      <c r="AJ69" s="49">
        <f t="shared" si="8"/>
        <v>0.67441939139784934</v>
      </c>
      <c r="AK69" s="50"/>
    </row>
    <row r="70" spans="1:37" ht="15" customHeight="1" thickTop="1" thickBot="1" x14ac:dyDescent="0.4">
      <c r="A70" s="35">
        <v>22</v>
      </c>
      <c r="B70" s="36">
        <v>45932</v>
      </c>
      <c r="C70" s="35" t="s">
        <v>0</v>
      </c>
      <c r="D70" s="35"/>
      <c r="E70" s="37" t="s">
        <v>83</v>
      </c>
      <c r="F70" s="35" t="s">
        <v>45</v>
      </c>
      <c r="G70" s="35"/>
      <c r="H70" s="38" t="s">
        <v>55</v>
      </c>
      <c r="I70" s="35" t="s">
        <v>71</v>
      </c>
      <c r="J70" s="35"/>
      <c r="K70" s="35" t="s">
        <v>72</v>
      </c>
      <c r="L70" s="39">
        <v>100</v>
      </c>
      <c r="M70" s="40">
        <v>100</v>
      </c>
      <c r="N70" s="89"/>
      <c r="O70" s="42" t="s">
        <v>50</v>
      </c>
      <c r="P70" s="43">
        <v>230</v>
      </c>
      <c r="Q70" s="43"/>
      <c r="R70" s="43">
        <v>0</v>
      </c>
      <c r="S70" s="44">
        <v>44</v>
      </c>
      <c r="T70" s="45">
        <f>(M70+15)/25.4</f>
        <v>4.5275590551181102</v>
      </c>
      <c r="U70" s="45">
        <f>(L70+15)/25.4</f>
        <v>4.5275590551181102</v>
      </c>
      <c r="V70" s="43">
        <f>T71*U71*P70/1550</f>
        <v>4.2661290322580649</v>
      </c>
      <c r="W70" s="43">
        <f t="shared" si="0"/>
        <v>0.18770967741935485</v>
      </c>
      <c r="X70" s="46">
        <f t="shared" si="1"/>
        <v>0.12798387096774194</v>
      </c>
      <c r="Y70" s="43">
        <f>S70*X70/1000</f>
        <v>5.631290322580646E-3</v>
      </c>
      <c r="Z70" s="43">
        <f>W70+Y70</f>
        <v>0.19334096774193549</v>
      </c>
      <c r="AA70" s="43">
        <v>6.8</v>
      </c>
      <c r="AB70" s="43">
        <f>(V70+X70)*AA70/1000</f>
        <v>2.9879967741935486E-2</v>
      </c>
      <c r="AC70" s="43">
        <f t="shared" si="31"/>
        <v>0.16666666666666666</v>
      </c>
      <c r="AD70" s="47">
        <v>0</v>
      </c>
      <c r="AE70" s="47">
        <v>0</v>
      </c>
      <c r="AF70" s="43">
        <f t="shared" si="6"/>
        <v>0.19654663440860215</v>
      </c>
      <c r="AG70" s="47">
        <v>0</v>
      </c>
      <c r="AH70" s="48">
        <f t="shared" si="7"/>
        <v>3.8988760215053764E-2</v>
      </c>
      <c r="AI70" s="47">
        <v>0</v>
      </c>
      <c r="AJ70" s="49">
        <f t="shared" si="8"/>
        <v>0.4288763623655914</v>
      </c>
      <c r="AK70" s="50">
        <f t="shared" si="9"/>
        <v>1.5797087758064516</v>
      </c>
    </row>
    <row r="71" spans="1:37" ht="15" customHeight="1" thickTop="1" thickBot="1" x14ac:dyDescent="0.4">
      <c r="A71" s="35">
        <v>22</v>
      </c>
      <c r="B71" s="36">
        <v>45932</v>
      </c>
      <c r="C71" s="35" t="s">
        <v>0</v>
      </c>
      <c r="D71" s="35"/>
      <c r="E71" s="37" t="s">
        <v>83</v>
      </c>
      <c r="F71" s="35" t="s">
        <v>45</v>
      </c>
      <c r="G71" s="35"/>
      <c r="H71" s="38" t="s">
        <v>55</v>
      </c>
      <c r="I71" s="35" t="s">
        <v>71</v>
      </c>
      <c r="J71" s="35"/>
      <c r="K71" s="35" t="s">
        <v>72</v>
      </c>
      <c r="L71" s="39"/>
      <c r="M71" s="40"/>
      <c r="N71" s="89"/>
      <c r="O71" s="42" t="s">
        <v>51</v>
      </c>
      <c r="P71" s="43">
        <v>150</v>
      </c>
      <c r="Q71" s="43"/>
      <c r="R71" s="43">
        <v>0</v>
      </c>
      <c r="S71" s="44">
        <v>38.5</v>
      </c>
      <c r="T71" s="43">
        <f>ROUNDUP($T70,0)+0.75</f>
        <v>5.75</v>
      </c>
      <c r="U71" s="43">
        <f>CEILING($U70,0.5)</f>
        <v>5</v>
      </c>
      <c r="V71" s="43">
        <f>T71*U71*P71*1.4*2/1550</f>
        <v>7.790322580645161</v>
      </c>
      <c r="W71" s="43">
        <f t="shared" si="0"/>
        <v>0.29992741935483874</v>
      </c>
      <c r="X71" s="46">
        <f t="shared" si="1"/>
        <v>0.23370967741935483</v>
      </c>
      <c r="Y71" s="43">
        <f t="shared" ref="Y71:Y72" si="47">S71*X71/1000</f>
        <v>8.9978225806451612E-3</v>
      </c>
      <c r="Z71" s="43">
        <f t="shared" ref="Z71:Z72" si="48">W71+Y71</f>
        <v>0.30892524193548393</v>
      </c>
      <c r="AA71" s="43">
        <v>6.8</v>
      </c>
      <c r="AB71" s="43">
        <f t="shared" ref="AB71:AB72" si="49">(V71+X71)*AA71/1000</f>
        <v>5.4563419354838709E-2</v>
      </c>
      <c r="AC71" s="43">
        <f t="shared" si="31"/>
        <v>0.16666666666666666</v>
      </c>
      <c r="AD71" s="47">
        <v>0</v>
      </c>
      <c r="AE71" s="47">
        <v>0</v>
      </c>
      <c r="AF71" s="43">
        <f t="shared" si="6"/>
        <v>0.22123008602150537</v>
      </c>
      <c r="AG71" s="47">
        <v>0</v>
      </c>
      <c r="AH71" s="48">
        <f t="shared" si="7"/>
        <v>5.3015532795698928E-2</v>
      </c>
      <c r="AI71" s="47">
        <v>0</v>
      </c>
      <c r="AJ71" s="49">
        <f t="shared" si="8"/>
        <v>0.5831708607526882</v>
      </c>
      <c r="AK71" s="50"/>
    </row>
    <row r="72" spans="1:37" ht="15" customHeight="1" thickTop="1" thickBot="1" x14ac:dyDescent="0.4">
      <c r="A72" s="35">
        <v>22</v>
      </c>
      <c r="B72" s="36">
        <v>45932</v>
      </c>
      <c r="C72" s="35" t="s">
        <v>0</v>
      </c>
      <c r="D72" s="35"/>
      <c r="E72" s="37" t="s">
        <v>83</v>
      </c>
      <c r="F72" s="35" t="s">
        <v>45</v>
      </c>
      <c r="G72" s="35"/>
      <c r="H72" s="38" t="s">
        <v>55</v>
      </c>
      <c r="I72" s="35" t="s">
        <v>71</v>
      </c>
      <c r="J72" s="35"/>
      <c r="K72" s="35" t="s">
        <v>72</v>
      </c>
      <c r="L72" s="39"/>
      <c r="M72" s="40"/>
      <c r="N72" s="89"/>
      <c r="O72" s="42" t="s">
        <v>50</v>
      </c>
      <c r="P72" s="43">
        <v>180</v>
      </c>
      <c r="Q72" s="43"/>
      <c r="R72" s="43">
        <v>0</v>
      </c>
      <c r="S72" s="44">
        <v>44</v>
      </c>
      <c r="T72" s="43">
        <f>T71</f>
        <v>5.75</v>
      </c>
      <c r="U72" s="43">
        <f>U71</f>
        <v>5</v>
      </c>
      <c r="V72" s="43">
        <f>T72*U72*P72*2/1550</f>
        <v>6.67741935483871</v>
      </c>
      <c r="W72" s="43">
        <f t="shared" si="0"/>
        <v>0.29380645161290325</v>
      </c>
      <c r="X72" s="46">
        <f t="shared" si="1"/>
        <v>0.20032258064516129</v>
      </c>
      <c r="Y72" s="43">
        <f t="shared" si="47"/>
        <v>8.8141935483870976E-3</v>
      </c>
      <c r="Z72" s="43">
        <f t="shared" si="48"/>
        <v>0.30262064516129034</v>
      </c>
      <c r="AA72" s="43">
        <v>6.8</v>
      </c>
      <c r="AB72" s="43">
        <f t="shared" si="49"/>
        <v>4.6768645161290326E-2</v>
      </c>
      <c r="AC72" s="43">
        <f t="shared" si="31"/>
        <v>0.16666666666666666</v>
      </c>
      <c r="AD72" s="47">
        <v>0</v>
      </c>
      <c r="AE72" s="47">
        <v>0</v>
      </c>
      <c r="AF72" s="43">
        <f t="shared" si="6"/>
        <v>0.213435311827957</v>
      </c>
      <c r="AG72" s="47">
        <v>0</v>
      </c>
      <c r="AH72" s="48">
        <f t="shared" si="7"/>
        <v>5.1605595698924735E-2</v>
      </c>
      <c r="AI72" s="47">
        <v>0</v>
      </c>
      <c r="AJ72" s="49">
        <f t="shared" si="8"/>
        <v>0.56766155268817209</v>
      </c>
      <c r="AK72" s="50"/>
    </row>
    <row r="73" spans="1:37" ht="15" customHeight="1" thickTop="1" thickBot="1" x14ac:dyDescent="0.4">
      <c r="A73" s="35">
        <v>23</v>
      </c>
      <c r="B73" s="36">
        <v>45932</v>
      </c>
      <c r="C73" s="35" t="s">
        <v>0</v>
      </c>
      <c r="D73" s="70"/>
      <c r="E73" s="70" t="s">
        <v>84</v>
      </c>
      <c r="F73" s="70" t="s">
        <v>61</v>
      </c>
      <c r="G73" s="70" t="s">
        <v>62</v>
      </c>
      <c r="H73" s="70"/>
      <c r="I73" s="70"/>
      <c r="J73" s="70"/>
      <c r="K73" s="70"/>
      <c r="L73" s="39">
        <v>100</v>
      </c>
      <c r="M73" s="40">
        <v>100</v>
      </c>
      <c r="N73" s="89"/>
      <c r="O73" s="42" t="s">
        <v>50</v>
      </c>
      <c r="P73" s="43">
        <v>230</v>
      </c>
      <c r="Q73" s="43"/>
      <c r="R73" s="43">
        <v>0</v>
      </c>
      <c r="S73" s="44"/>
      <c r="T73" s="45"/>
      <c r="U73" s="45"/>
      <c r="V73" s="43"/>
      <c r="W73" s="43"/>
      <c r="X73" s="46"/>
      <c r="Y73" s="43"/>
      <c r="Z73" s="43"/>
      <c r="AA73" s="43"/>
      <c r="AB73" s="43"/>
      <c r="AC73" s="43"/>
      <c r="AD73" s="47"/>
      <c r="AE73" s="47"/>
      <c r="AF73" s="43"/>
      <c r="AG73" s="47"/>
      <c r="AH73" s="48"/>
      <c r="AI73" s="47"/>
      <c r="AJ73" s="49"/>
      <c r="AK73" s="71"/>
    </row>
    <row r="74" spans="1:37" ht="15" customHeight="1" thickTop="1" thickBot="1" x14ac:dyDescent="0.4">
      <c r="A74" s="35">
        <v>23</v>
      </c>
      <c r="B74" s="36">
        <v>45932</v>
      </c>
      <c r="C74" s="35" t="s">
        <v>0</v>
      </c>
      <c r="D74" s="70"/>
      <c r="E74" s="70" t="s">
        <v>84</v>
      </c>
      <c r="F74" s="70" t="s">
        <v>61</v>
      </c>
      <c r="G74" s="70" t="s">
        <v>62</v>
      </c>
      <c r="H74" s="70"/>
      <c r="I74" s="70"/>
      <c r="J74" s="70"/>
      <c r="K74" s="70"/>
      <c r="L74" s="39"/>
      <c r="M74" s="40"/>
      <c r="N74" s="89"/>
      <c r="O74" s="42" t="s">
        <v>51</v>
      </c>
      <c r="P74" s="43">
        <v>150</v>
      </c>
      <c r="Q74" s="43"/>
      <c r="R74" s="43">
        <v>0</v>
      </c>
      <c r="S74" s="44"/>
      <c r="T74" s="43"/>
      <c r="U74" s="43"/>
      <c r="V74" s="43"/>
      <c r="W74" s="43"/>
      <c r="X74" s="46"/>
      <c r="Y74" s="43"/>
      <c r="Z74" s="43"/>
      <c r="AA74" s="43"/>
      <c r="AB74" s="43"/>
      <c r="AC74" s="43"/>
      <c r="AD74" s="47"/>
      <c r="AE74" s="47"/>
      <c r="AF74" s="43"/>
      <c r="AG74" s="47"/>
      <c r="AH74" s="48"/>
      <c r="AI74" s="47"/>
      <c r="AJ74" s="49"/>
      <c r="AK74" s="71"/>
    </row>
    <row r="75" spans="1:37" ht="15" customHeight="1" thickTop="1" thickBot="1" x14ac:dyDescent="0.4">
      <c r="A75" s="35">
        <v>23</v>
      </c>
      <c r="B75" s="36">
        <v>45932</v>
      </c>
      <c r="C75" s="35" t="s">
        <v>0</v>
      </c>
      <c r="D75" s="70"/>
      <c r="E75" s="70" t="s">
        <v>84</v>
      </c>
      <c r="F75" s="70" t="s">
        <v>61</v>
      </c>
      <c r="G75" s="70" t="s">
        <v>62</v>
      </c>
      <c r="H75" s="70"/>
      <c r="I75" s="70"/>
      <c r="J75" s="70"/>
      <c r="K75" s="70"/>
      <c r="L75" s="39"/>
      <c r="M75" s="40"/>
      <c r="N75" s="89"/>
      <c r="O75" s="42" t="s">
        <v>50</v>
      </c>
      <c r="P75" s="43">
        <v>180</v>
      </c>
      <c r="Q75" s="43"/>
      <c r="R75" s="43">
        <v>0</v>
      </c>
      <c r="S75" s="44"/>
      <c r="T75" s="43"/>
      <c r="U75" s="43"/>
      <c r="V75" s="43"/>
      <c r="W75" s="43"/>
      <c r="X75" s="46"/>
      <c r="Y75" s="43"/>
      <c r="Z75" s="43"/>
      <c r="AA75" s="43"/>
      <c r="AB75" s="43"/>
      <c r="AC75" s="43"/>
      <c r="AD75" s="47"/>
      <c r="AE75" s="47"/>
      <c r="AF75" s="43"/>
      <c r="AG75" s="47"/>
      <c r="AH75" s="48"/>
      <c r="AI75" s="47"/>
      <c r="AJ75" s="49"/>
      <c r="AK75" s="71"/>
    </row>
    <row r="76" spans="1:37" ht="15" customHeight="1" thickTop="1" thickBot="1" x14ac:dyDescent="0.4">
      <c r="A76" s="90">
        <v>24</v>
      </c>
      <c r="B76" s="36">
        <v>45932</v>
      </c>
      <c r="C76" s="90" t="s">
        <v>0</v>
      </c>
      <c r="D76" s="70"/>
      <c r="E76" s="70" t="s">
        <v>85</v>
      </c>
      <c r="F76" s="70"/>
      <c r="G76" s="70" t="s">
        <v>62</v>
      </c>
      <c r="H76" s="70"/>
      <c r="I76" s="70"/>
      <c r="J76" s="70"/>
      <c r="K76" s="70"/>
      <c r="L76" s="39">
        <v>100</v>
      </c>
      <c r="M76" s="40">
        <v>100</v>
      </c>
      <c r="N76" s="89"/>
      <c r="O76" s="42" t="s">
        <v>50</v>
      </c>
      <c r="P76" s="43">
        <v>230</v>
      </c>
      <c r="Q76" s="43"/>
      <c r="R76" s="43">
        <v>0</v>
      </c>
      <c r="S76" s="44"/>
      <c r="T76" s="45"/>
      <c r="U76" s="45"/>
      <c r="V76" s="43"/>
      <c r="W76" s="43"/>
      <c r="X76" s="46"/>
      <c r="Y76" s="43"/>
      <c r="Z76" s="43"/>
      <c r="AA76" s="43"/>
      <c r="AB76" s="43"/>
      <c r="AC76" s="43"/>
      <c r="AD76" s="47"/>
      <c r="AE76" s="47"/>
      <c r="AF76" s="43"/>
      <c r="AG76" s="47"/>
      <c r="AH76" s="48"/>
      <c r="AI76" s="47"/>
      <c r="AJ76" s="49"/>
      <c r="AK76" s="71"/>
    </row>
    <row r="77" spans="1:37" ht="15" customHeight="1" thickTop="1" thickBot="1" x14ac:dyDescent="0.4">
      <c r="A77" s="90">
        <v>24</v>
      </c>
      <c r="B77" s="36">
        <v>45932</v>
      </c>
      <c r="C77" s="90" t="s">
        <v>0</v>
      </c>
      <c r="D77" s="70"/>
      <c r="E77" s="70" t="s">
        <v>85</v>
      </c>
      <c r="F77" s="70"/>
      <c r="G77" s="70" t="s">
        <v>62</v>
      </c>
      <c r="H77" s="70"/>
      <c r="I77" s="70"/>
      <c r="J77" s="70"/>
      <c r="K77" s="70"/>
      <c r="L77" s="39"/>
      <c r="M77" s="40"/>
      <c r="N77" s="89"/>
      <c r="O77" s="42" t="s">
        <v>51</v>
      </c>
      <c r="P77" s="43">
        <v>150</v>
      </c>
      <c r="Q77" s="43"/>
      <c r="R77" s="43">
        <v>0</v>
      </c>
      <c r="S77" s="44"/>
      <c r="T77" s="43"/>
      <c r="U77" s="43"/>
      <c r="V77" s="43"/>
      <c r="W77" s="43"/>
      <c r="X77" s="46"/>
      <c r="Y77" s="43"/>
      <c r="Z77" s="43"/>
      <c r="AA77" s="43"/>
      <c r="AB77" s="43"/>
      <c r="AC77" s="43"/>
      <c r="AD77" s="47"/>
      <c r="AE77" s="47"/>
      <c r="AF77" s="43"/>
      <c r="AG77" s="47"/>
      <c r="AH77" s="48"/>
      <c r="AI77" s="47"/>
      <c r="AJ77" s="49"/>
      <c r="AK77" s="71"/>
    </row>
    <row r="78" spans="1:37" ht="15" customHeight="1" thickTop="1" thickBot="1" x14ac:dyDescent="0.4">
      <c r="A78" s="90">
        <v>24</v>
      </c>
      <c r="B78" s="36">
        <v>45932</v>
      </c>
      <c r="C78" s="90" t="s">
        <v>0</v>
      </c>
      <c r="D78" s="70"/>
      <c r="E78" s="70" t="s">
        <v>85</v>
      </c>
      <c r="F78" s="70"/>
      <c r="G78" s="70" t="s">
        <v>62</v>
      </c>
      <c r="H78" s="70"/>
      <c r="I78" s="70"/>
      <c r="J78" s="70"/>
      <c r="K78" s="70"/>
      <c r="L78" s="39"/>
      <c r="M78" s="40"/>
      <c r="N78" s="89"/>
      <c r="O78" s="42"/>
      <c r="P78" s="43"/>
      <c r="Q78" s="43"/>
      <c r="R78" s="43"/>
      <c r="S78" s="44"/>
      <c r="T78" s="43"/>
      <c r="U78" s="43"/>
      <c r="V78" s="43"/>
      <c r="W78" s="43"/>
      <c r="X78" s="46"/>
      <c r="Y78" s="43"/>
      <c r="Z78" s="43"/>
      <c r="AA78" s="43"/>
      <c r="AB78" s="43"/>
      <c r="AC78" s="43"/>
      <c r="AD78" s="47"/>
      <c r="AE78" s="47"/>
      <c r="AF78" s="43"/>
      <c r="AG78" s="47"/>
      <c r="AH78" s="48"/>
      <c r="AI78" s="47"/>
      <c r="AJ78" s="49"/>
      <c r="AK78" s="71"/>
    </row>
    <row r="79" spans="1:37" ht="15" customHeight="1" thickTop="1" thickBot="1" x14ac:dyDescent="0.4">
      <c r="A79" s="90">
        <v>24</v>
      </c>
      <c r="B79" s="36">
        <v>45932</v>
      </c>
      <c r="C79" s="90" t="s">
        <v>0</v>
      </c>
      <c r="D79" s="70"/>
      <c r="E79" s="70" t="s">
        <v>85</v>
      </c>
      <c r="F79" s="70"/>
      <c r="G79" s="70" t="s">
        <v>62</v>
      </c>
      <c r="H79" s="70"/>
      <c r="I79" s="70"/>
      <c r="J79" s="70"/>
      <c r="K79" s="70"/>
      <c r="L79" s="39"/>
      <c r="M79" s="40"/>
      <c r="N79" s="89"/>
      <c r="O79" s="42" t="s">
        <v>50</v>
      </c>
      <c r="P79" s="43">
        <v>180</v>
      </c>
      <c r="Q79" s="43"/>
      <c r="R79" s="43">
        <v>0</v>
      </c>
      <c r="S79" s="44"/>
      <c r="T79" s="43"/>
      <c r="U79" s="43"/>
      <c r="V79" s="43"/>
      <c r="W79" s="43"/>
      <c r="X79" s="46"/>
      <c r="Y79" s="43"/>
      <c r="Z79" s="43"/>
      <c r="AA79" s="43"/>
      <c r="AB79" s="43"/>
      <c r="AC79" s="43"/>
      <c r="AD79" s="47"/>
      <c r="AE79" s="47"/>
      <c r="AF79" s="43"/>
      <c r="AG79" s="47"/>
      <c r="AH79" s="48"/>
      <c r="AI79" s="47"/>
      <c r="AJ79" s="49"/>
      <c r="AK79" s="71"/>
    </row>
    <row r="80" spans="1:37" ht="15" customHeight="1" thickTop="1" thickBot="1" x14ac:dyDescent="0.4">
      <c r="A80" s="35">
        <v>25</v>
      </c>
      <c r="B80" s="36">
        <v>45932</v>
      </c>
      <c r="C80" s="35" t="s">
        <v>0</v>
      </c>
      <c r="D80" s="35"/>
      <c r="E80" s="37" t="s">
        <v>86</v>
      </c>
      <c r="F80" s="35" t="s">
        <v>45</v>
      </c>
      <c r="G80" s="35"/>
      <c r="H80" s="38" t="s">
        <v>46</v>
      </c>
      <c r="I80" s="35" t="s">
        <v>71</v>
      </c>
      <c r="J80" s="38" t="s">
        <v>48</v>
      </c>
      <c r="K80" s="38" t="s">
        <v>49</v>
      </c>
      <c r="L80" s="39">
        <v>100</v>
      </c>
      <c r="M80" s="40">
        <v>100</v>
      </c>
      <c r="N80" s="41">
        <v>100</v>
      </c>
      <c r="O80" s="42" t="s">
        <v>50</v>
      </c>
      <c r="P80" s="43">
        <v>230</v>
      </c>
      <c r="Q80" s="43"/>
      <c r="R80" s="43">
        <v>0</v>
      </c>
      <c r="S80" s="44">
        <v>44</v>
      </c>
      <c r="T80" s="45">
        <f>(M80+N80+10)/25.4</f>
        <v>8.2677165354330722</v>
      </c>
      <c r="U80" s="45">
        <f>((L80+M80+L80+M80+55)/25.4)</f>
        <v>17.913385826771655</v>
      </c>
      <c r="V80" s="43">
        <f>T81*U81*P80/1550</f>
        <v>26.041935483870969</v>
      </c>
      <c r="W80" s="43">
        <f t="shared" si="0"/>
        <v>1.1458451612903227</v>
      </c>
      <c r="X80" s="46">
        <f t="shared" si="1"/>
        <v>0.781258064516129</v>
      </c>
      <c r="Y80" s="43">
        <f>S80*X80/1000</f>
        <v>3.4375354838709675E-2</v>
      </c>
      <c r="Z80" s="43">
        <f>W80+Y80</f>
        <v>1.1802205161290322</v>
      </c>
      <c r="AA80" s="43">
        <v>6.8</v>
      </c>
      <c r="AB80" s="43">
        <f>(V80+X80)*AA80/1000</f>
        <v>0.18239771612903227</v>
      </c>
      <c r="AC80" s="43">
        <f t="shared" si="31"/>
        <v>0.16666666666666666</v>
      </c>
      <c r="AD80" s="47">
        <v>0</v>
      </c>
      <c r="AE80" s="47">
        <v>0</v>
      </c>
      <c r="AF80" s="43">
        <f t="shared" ref="AF80:AF143" si="50">AB80+AC80+AD80+AE80</f>
        <v>0.34906438279569896</v>
      </c>
      <c r="AG80" s="47">
        <v>0</v>
      </c>
      <c r="AH80" s="48">
        <f t="shared" ref="AH80:AH143" si="51">(Z80+AF80+AG80)*10%</f>
        <v>0.15292848989247312</v>
      </c>
      <c r="AI80" s="47">
        <v>0</v>
      </c>
      <c r="AJ80" s="49">
        <f t="shared" ref="AJ80:AJ143" si="52">Z80+AF80+AG80+AH80-AI80</f>
        <v>1.6822133888172044</v>
      </c>
      <c r="AK80" s="50">
        <f t="shared" ref="AK80:AK137" si="53">AJ80+AJ81+AJ82</f>
        <v>4.4422902912903224</v>
      </c>
    </row>
    <row r="81" spans="1:37" ht="15" customHeight="1" thickTop="1" thickBot="1" x14ac:dyDescent="0.4">
      <c r="A81" s="35">
        <v>25</v>
      </c>
      <c r="B81" s="36">
        <v>45932</v>
      </c>
      <c r="C81" s="35" t="s">
        <v>0</v>
      </c>
      <c r="D81" s="35"/>
      <c r="E81" s="37" t="s">
        <v>86</v>
      </c>
      <c r="F81" s="35" t="s">
        <v>45</v>
      </c>
      <c r="G81" s="35"/>
      <c r="H81" s="38" t="s">
        <v>46</v>
      </c>
      <c r="I81" s="35" t="s">
        <v>71</v>
      </c>
      <c r="J81" s="38" t="s">
        <v>48</v>
      </c>
      <c r="K81" s="38" t="s">
        <v>49</v>
      </c>
      <c r="L81" s="39"/>
      <c r="M81" s="40"/>
      <c r="N81" s="41"/>
      <c r="O81" s="42" t="s">
        <v>51</v>
      </c>
      <c r="P81" s="43">
        <v>150</v>
      </c>
      <c r="Q81" s="43"/>
      <c r="R81" s="43">
        <v>0</v>
      </c>
      <c r="S81" s="44">
        <v>38.5</v>
      </c>
      <c r="T81" s="43">
        <f>ROUNDUP($T80,0)+0.75</f>
        <v>9.75</v>
      </c>
      <c r="U81" s="43">
        <f>CEILING($U80,0.5)</f>
        <v>18</v>
      </c>
      <c r="V81" s="43">
        <f>T81*U81*P81*1.4/1550</f>
        <v>23.77741935483871</v>
      </c>
      <c r="W81" s="43">
        <f t="shared" si="0"/>
        <v>0.91543064516129025</v>
      </c>
      <c r="X81" s="46">
        <f t="shared" si="1"/>
        <v>0.7133225806451613</v>
      </c>
      <c r="Y81" s="43">
        <f t="shared" ref="Y81:Y82" si="54">S81*X81/1000</f>
        <v>2.7462919354838709E-2</v>
      </c>
      <c r="Z81" s="43">
        <f t="shared" ref="Z81:Z82" si="55">W81+Y81</f>
        <v>0.94289356451612893</v>
      </c>
      <c r="AA81" s="43">
        <v>6.8</v>
      </c>
      <c r="AB81" s="43">
        <f t="shared" ref="AB81:AB82" si="56">(V81+X81)*AA81/1000</f>
        <v>0.16653704516129031</v>
      </c>
      <c r="AC81" s="43">
        <f t="shared" si="31"/>
        <v>0.16666666666666666</v>
      </c>
      <c r="AD81" s="47">
        <v>0</v>
      </c>
      <c r="AE81" s="47">
        <v>0</v>
      </c>
      <c r="AF81" s="43">
        <f t="shared" si="50"/>
        <v>0.33320371182795694</v>
      </c>
      <c r="AG81" s="47">
        <v>0</v>
      </c>
      <c r="AH81" s="48">
        <f t="shared" si="51"/>
        <v>0.12760972763440859</v>
      </c>
      <c r="AI81" s="47">
        <v>0</v>
      </c>
      <c r="AJ81" s="49">
        <f t="shared" si="52"/>
        <v>1.4037070039784945</v>
      </c>
      <c r="AK81" s="50"/>
    </row>
    <row r="82" spans="1:37" ht="15" customHeight="1" thickTop="1" thickBot="1" x14ac:dyDescent="0.4">
      <c r="A82" s="35">
        <v>25</v>
      </c>
      <c r="B82" s="36">
        <v>45932</v>
      </c>
      <c r="C82" s="35" t="s">
        <v>0</v>
      </c>
      <c r="D82" s="35"/>
      <c r="E82" s="37" t="s">
        <v>86</v>
      </c>
      <c r="F82" s="35" t="s">
        <v>45</v>
      </c>
      <c r="G82" s="35"/>
      <c r="H82" s="38" t="s">
        <v>46</v>
      </c>
      <c r="I82" s="35" t="s">
        <v>71</v>
      </c>
      <c r="J82" s="38" t="s">
        <v>48</v>
      </c>
      <c r="K82" s="38" t="s">
        <v>49</v>
      </c>
      <c r="L82" s="39"/>
      <c r="M82" s="40"/>
      <c r="N82" s="41"/>
      <c r="O82" s="42" t="s">
        <v>50</v>
      </c>
      <c r="P82" s="43">
        <v>180</v>
      </c>
      <c r="Q82" s="43"/>
      <c r="R82" s="43">
        <v>0</v>
      </c>
      <c r="S82" s="44">
        <v>44</v>
      </c>
      <c r="T82" s="43">
        <f>T81</f>
        <v>9.75</v>
      </c>
      <c r="U82" s="43">
        <f>U81</f>
        <v>18</v>
      </c>
      <c r="V82" s="43">
        <f>T82*U82*P82/1550</f>
        <v>20.380645161290321</v>
      </c>
      <c r="W82" s="43">
        <f t="shared" si="0"/>
        <v>0.89674838709677407</v>
      </c>
      <c r="X82" s="46">
        <f t="shared" si="1"/>
        <v>0.61141935483870957</v>
      </c>
      <c r="Y82" s="43">
        <f t="shared" si="54"/>
        <v>2.6902451612903222E-2</v>
      </c>
      <c r="Z82" s="43">
        <f t="shared" si="55"/>
        <v>0.92365083870967735</v>
      </c>
      <c r="AA82" s="43">
        <v>6.8</v>
      </c>
      <c r="AB82" s="43">
        <f t="shared" si="56"/>
        <v>0.14274603870967742</v>
      </c>
      <c r="AC82" s="43">
        <f t="shared" si="31"/>
        <v>0.16666666666666666</v>
      </c>
      <c r="AD82" s="47">
        <v>0</v>
      </c>
      <c r="AE82" s="47">
        <v>0</v>
      </c>
      <c r="AF82" s="43">
        <f t="shared" si="50"/>
        <v>0.30941270537634408</v>
      </c>
      <c r="AG82" s="47">
        <v>0</v>
      </c>
      <c r="AH82" s="48">
        <f t="shared" si="51"/>
        <v>0.12330635440860215</v>
      </c>
      <c r="AI82" s="47">
        <v>0</v>
      </c>
      <c r="AJ82" s="49">
        <f t="shared" si="52"/>
        <v>1.3563698984946235</v>
      </c>
      <c r="AK82" s="50"/>
    </row>
    <row r="83" spans="1:37" ht="15" customHeight="1" thickTop="1" thickBot="1" x14ac:dyDescent="0.4">
      <c r="A83" s="35">
        <v>26</v>
      </c>
      <c r="B83" s="36">
        <v>45932</v>
      </c>
      <c r="C83" s="35" t="s">
        <v>0</v>
      </c>
      <c r="D83" s="35"/>
      <c r="E83" s="37" t="s">
        <v>87</v>
      </c>
      <c r="F83" s="35" t="s">
        <v>45</v>
      </c>
      <c r="G83" s="35"/>
      <c r="H83" s="38" t="s">
        <v>46</v>
      </c>
      <c r="I83" s="35" t="s">
        <v>71</v>
      </c>
      <c r="J83" s="38" t="s">
        <v>57</v>
      </c>
      <c r="K83" s="38" t="s">
        <v>49</v>
      </c>
      <c r="L83" s="39">
        <v>100</v>
      </c>
      <c r="M83" s="40">
        <v>100</v>
      </c>
      <c r="N83" s="41">
        <v>100</v>
      </c>
      <c r="O83" s="42" t="s">
        <v>50</v>
      </c>
      <c r="P83" s="43">
        <v>230</v>
      </c>
      <c r="Q83" s="43"/>
      <c r="R83" s="43">
        <v>0</v>
      </c>
      <c r="S83" s="44">
        <v>44</v>
      </c>
      <c r="T83" s="45">
        <f>(M83+N83+10)/25.4</f>
        <v>8.2677165354330722</v>
      </c>
      <c r="U83" s="45">
        <f>((L83+M83+L83+M83+55+55)/25.4)</f>
        <v>20.078740157480315</v>
      </c>
      <c r="V83" s="43">
        <f>T84*U84*P83/1550</f>
        <v>29.658870967741937</v>
      </c>
      <c r="W83" s="43">
        <f t="shared" si="0"/>
        <v>1.3049903225806452</v>
      </c>
      <c r="X83" s="46">
        <f t="shared" si="1"/>
        <v>0.88976612903225805</v>
      </c>
      <c r="Y83" s="43">
        <f>S83*X83/1000</f>
        <v>3.9149709677419355E-2</v>
      </c>
      <c r="Z83" s="43">
        <f>W83+Y83</f>
        <v>1.3441400322580646</v>
      </c>
      <c r="AA83" s="43">
        <v>6.8</v>
      </c>
      <c r="AB83" s="43">
        <f>(V83+X83)*AA83/1000</f>
        <v>0.20773073225806452</v>
      </c>
      <c r="AC83" s="43">
        <f t="shared" si="31"/>
        <v>0.16666666666666666</v>
      </c>
      <c r="AD83" s="47">
        <v>0</v>
      </c>
      <c r="AE83" s="47">
        <v>0</v>
      </c>
      <c r="AF83" s="43">
        <f t="shared" si="50"/>
        <v>0.37439739892473117</v>
      </c>
      <c r="AG83" s="47">
        <v>0</v>
      </c>
      <c r="AH83" s="48">
        <f t="shared" si="51"/>
        <v>0.17185374311827958</v>
      </c>
      <c r="AI83" s="47">
        <v>0</v>
      </c>
      <c r="AJ83" s="49">
        <f t="shared" si="52"/>
        <v>1.8903911743010753</v>
      </c>
      <c r="AK83" s="50">
        <f t="shared" si="53"/>
        <v>4.9828861650806457</v>
      </c>
    </row>
    <row r="84" spans="1:37" ht="15" customHeight="1" thickTop="1" thickBot="1" x14ac:dyDescent="0.4">
      <c r="A84" s="35">
        <v>26</v>
      </c>
      <c r="B84" s="36">
        <v>45932</v>
      </c>
      <c r="C84" s="35" t="s">
        <v>0</v>
      </c>
      <c r="D84" s="35"/>
      <c r="E84" s="37" t="s">
        <v>87</v>
      </c>
      <c r="F84" s="35" t="s">
        <v>45</v>
      </c>
      <c r="G84" s="35"/>
      <c r="H84" s="38" t="s">
        <v>46</v>
      </c>
      <c r="I84" s="35" t="s">
        <v>71</v>
      </c>
      <c r="J84" s="38" t="s">
        <v>57</v>
      </c>
      <c r="K84" s="38" t="s">
        <v>49</v>
      </c>
      <c r="L84" s="39"/>
      <c r="M84" s="40"/>
      <c r="N84" s="41"/>
      <c r="O84" s="42" t="s">
        <v>51</v>
      </c>
      <c r="P84" s="43">
        <v>150</v>
      </c>
      <c r="Q84" s="43"/>
      <c r="R84" s="43">
        <v>0</v>
      </c>
      <c r="S84" s="44">
        <v>38.5</v>
      </c>
      <c r="T84" s="43">
        <f>ROUNDUP($T83,0)+0.75</f>
        <v>9.75</v>
      </c>
      <c r="U84" s="43">
        <f>CEILING($U83,0.5)</f>
        <v>20.5</v>
      </c>
      <c r="V84" s="43">
        <f>T84*U84*P84*1.4/1550</f>
        <v>27.079838709677418</v>
      </c>
      <c r="W84" s="43">
        <f t="shared" si="0"/>
        <v>1.0425737903225807</v>
      </c>
      <c r="X84" s="46">
        <f t="shared" si="1"/>
        <v>0.81239516129032252</v>
      </c>
      <c r="Y84" s="43">
        <f t="shared" ref="Y84:Y85" si="57">S84*X84/1000</f>
        <v>3.1277213709677419E-2</v>
      </c>
      <c r="Z84" s="43">
        <f t="shared" ref="Z84:Z85" si="58">W84+Y84</f>
        <v>1.0738510040322582</v>
      </c>
      <c r="AA84" s="43">
        <v>6.8</v>
      </c>
      <c r="AB84" s="43">
        <f t="shared" ref="AB84:AB85" si="59">(V84+X84)*AA84/1000</f>
        <v>0.18966719032258064</v>
      </c>
      <c r="AC84" s="43">
        <f t="shared" si="31"/>
        <v>0.16666666666666666</v>
      </c>
      <c r="AD84" s="47">
        <v>0</v>
      </c>
      <c r="AE84" s="47">
        <v>0</v>
      </c>
      <c r="AF84" s="43">
        <f t="shared" si="50"/>
        <v>0.3563338569892473</v>
      </c>
      <c r="AG84" s="47">
        <v>0</v>
      </c>
      <c r="AH84" s="48">
        <f t="shared" si="51"/>
        <v>0.14301848610215057</v>
      </c>
      <c r="AI84" s="47">
        <v>0</v>
      </c>
      <c r="AJ84" s="49">
        <f t="shared" si="52"/>
        <v>1.5732033471236562</v>
      </c>
      <c r="AK84" s="50"/>
    </row>
    <row r="85" spans="1:37" ht="15" customHeight="1" thickTop="1" thickBot="1" x14ac:dyDescent="0.4">
      <c r="A85" s="35">
        <v>26</v>
      </c>
      <c r="B85" s="36">
        <v>45932</v>
      </c>
      <c r="C85" s="35" t="s">
        <v>0</v>
      </c>
      <c r="D85" s="35"/>
      <c r="E85" s="37" t="s">
        <v>87</v>
      </c>
      <c r="F85" s="35" t="s">
        <v>45</v>
      </c>
      <c r="G85" s="35"/>
      <c r="H85" s="38" t="s">
        <v>46</v>
      </c>
      <c r="I85" s="35" t="s">
        <v>71</v>
      </c>
      <c r="J85" s="38" t="s">
        <v>57</v>
      </c>
      <c r="K85" s="38" t="s">
        <v>49</v>
      </c>
      <c r="L85" s="39"/>
      <c r="M85" s="40"/>
      <c r="N85" s="41"/>
      <c r="O85" s="42" t="s">
        <v>50</v>
      </c>
      <c r="P85" s="43">
        <v>180</v>
      </c>
      <c r="Q85" s="43"/>
      <c r="R85" s="43">
        <v>0</v>
      </c>
      <c r="S85" s="44">
        <v>44</v>
      </c>
      <c r="T85" s="43">
        <f>T84</f>
        <v>9.75</v>
      </c>
      <c r="U85" s="43">
        <f>U84</f>
        <v>20.5</v>
      </c>
      <c r="V85" s="43">
        <f>T85*U85*P85/1550</f>
        <v>23.211290322580645</v>
      </c>
      <c r="W85" s="43">
        <f t="shared" si="0"/>
        <v>1.0212967741935484</v>
      </c>
      <c r="X85" s="46">
        <f t="shared" si="1"/>
        <v>0.69633870967741929</v>
      </c>
      <c r="Y85" s="43">
        <f t="shared" si="57"/>
        <v>3.0638903225806449E-2</v>
      </c>
      <c r="Z85" s="43">
        <f t="shared" si="58"/>
        <v>1.0519356774193549</v>
      </c>
      <c r="AA85" s="43">
        <v>6.8</v>
      </c>
      <c r="AB85" s="43">
        <f t="shared" si="59"/>
        <v>0.16257187741935486</v>
      </c>
      <c r="AC85" s="43">
        <f t="shared" si="31"/>
        <v>0.16666666666666666</v>
      </c>
      <c r="AD85" s="47">
        <v>0</v>
      </c>
      <c r="AE85" s="47">
        <v>0</v>
      </c>
      <c r="AF85" s="43">
        <f t="shared" si="50"/>
        <v>0.32923854408602149</v>
      </c>
      <c r="AG85" s="47">
        <v>0</v>
      </c>
      <c r="AH85" s="48">
        <f t="shared" si="51"/>
        <v>0.13811742215053766</v>
      </c>
      <c r="AI85" s="47">
        <v>0</v>
      </c>
      <c r="AJ85" s="49">
        <f t="shared" si="52"/>
        <v>1.5192916436559141</v>
      </c>
      <c r="AK85" s="50"/>
    </row>
    <row r="86" spans="1:37" ht="15" customHeight="1" thickTop="1" thickBot="1" x14ac:dyDescent="0.4">
      <c r="A86" s="35">
        <v>27</v>
      </c>
      <c r="B86" s="36">
        <v>45932</v>
      </c>
      <c r="C86" s="35" t="s">
        <v>0</v>
      </c>
      <c r="D86" s="35"/>
      <c r="E86" s="37" t="s">
        <v>88</v>
      </c>
      <c r="F86" s="35" t="s">
        <v>45</v>
      </c>
      <c r="G86" s="35"/>
      <c r="H86" s="38" t="s">
        <v>46</v>
      </c>
      <c r="I86" s="35" t="s">
        <v>71</v>
      </c>
      <c r="J86" s="35"/>
      <c r="K86" s="35" t="s">
        <v>89</v>
      </c>
      <c r="L86" s="39">
        <v>100</v>
      </c>
      <c r="M86" s="40">
        <v>100</v>
      </c>
      <c r="N86" s="41">
        <v>100</v>
      </c>
      <c r="O86" s="42" t="s">
        <v>50</v>
      </c>
      <c r="P86" s="43">
        <v>230</v>
      </c>
      <c r="Q86" s="43"/>
      <c r="R86" s="43">
        <v>0</v>
      </c>
      <c r="S86" s="44">
        <v>44</v>
      </c>
      <c r="T86" s="45">
        <f>((M86+N86+20)+(M86*70%+20))/25.4</f>
        <v>12.20472440944882</v>
      </c>
      <c r="U86" s="45">
        <f>(((L86+M86)*2+55)+55)/25.4</f>
        <v>20.078740157480315</v>
      </c>
      <c r="V86" s="43">
        <f>T87*U87*P86/1550</f>
        <v>41.826612903225808</v>
      </c>
      <c r="W86" s="43">
        <f t="shared" si="0"/>
        <v>1.8403709677419355</v>
      </c>
      <c r="X86" s="46">
        <f t="shared" si="1"/>
        <v>1.2547983870967743</v>
      </c>
      <c r="Y86" s="43">
        <f>S86*X86/1000</f>
        <v>5.5211129032258069E-2</v>
      </c>
      <c r="Z86" s="43">
        <f>W86+Y86</f>
        <v>1.8955820967741936</v>
      </c>
      <c r="AA86" s="43">
        <v>6.8</v>
      </c>
      <c r="AB86" s="43">
        <f>(V86+X86)*AA86/1000</f>
        <v>0.29295359677419358</v>
      </c>
      <c r="AC86" s="43">
        <f t="shared" si="31"/>
        <v>0.16666666666666666</v>
      </c>
      <c r="AD86" s="47">
        <v>0</v>
      </c>
      <c r="AE86" s="47">
        <v>0</v>
      </c>
      <c r="AF86" s="43">
        <f t="shared" si="50"/>
        <v>0.45962026344086027</v>
      </c>
      <c r="AG86" s="47">
        <v>0</v>
      </c>
      <c r="AH86" s="48">
        <f t="shared" si="51"/>
        <v>0.2355202360215054</v>
      </c>
      <c r="AI86" s="47">
        <v>0</v>
      </c>
      <c r="AJ86" s="49">
        <f t="shared" si="52"/>
        <v>2.5907225962365592</v>
      </c>
      <c r="AK86" s="50">
        <f t="shared" si="53"/>
        <v>6.8015061302419362</v>
      </c>
    </row>
    <row r="87" spans="1:37" ht="15" customHeight="1" thickTop="1" thickBot="1" x14ac:dyDescent="0.4">
      <c r="A87" s="35">
        <v>27</v>
      </c>
      <c r="B87" s="36">
        <v>45932</v>
      </c>
      <c r="C87" s="35" t="s">
        <v>0</v>
      </c>
      <c r="D87" s="35"/>
      <c r="E87" s="37" t="s">
        <v>88</v>
      </c>
      <c r="F87" s="35" t="s">
        <v>45</v>
      </c>
      <c r="G87" s="35"/>
      <c r="H87" s="38" t="s">
        <v>46</v>
      </c>
      <c r="I87" s="35" t="s">
        <v>71</v>
      </c>
      <c r="J87" s="35"/>
      <c r="K87" s="35" t="s">
        <v>89</v>
      </c>
      <c r="L87" s="39"/>
      <c r="M87" s="40"/>
      <c r="N87" s="41"/>
      <c r="O87" s="42" t="s">
        <v>51</v>
      </c>
      <c r="P87" s="43">
        <v>150</v>
      </c>
      <c r="Q87" s="43"/>
      <c r="R87" s="43">
        <v>0</v>
      </c>
      <c r="S87" s="44">
        <v>38.5</v>
      </c>
      <c r="T87" s="43">
        <f>ROUNDUP($T86,0)+0.75</f>
        <v>13.75</v>
      </c>
      <c r="U87" s="43">
        <f>CEILING($U86,0.5)</f>
        <v>20.5</v>
      </c>
      <c r="V87" s="43">
        <f>T87*U87*P87*1.4/1550</f>
        <v>38.189516129032256</v>
      </c>
      <c r="W87" s="43">
        <f t="shared" si="0"/>
        <v>1.4702963709677419</v>
      </c>
      <c r="X87" s="46">
        <f t="shared" si="1"/>
        <v>1.1456854838709676</v>
      </c>
      <c r="Y87" s="43">
        <f t="shared" ref="Y87:Y88" si="60">S87*X87/1000</f>
        <v>4.4108891129032254E-2</v>
      </c>
      <c r="Z87" s="43">
        <f t="shared" ref="Z87:Z88" si="61">W87+Y87</f>
        <v>1.5144052620967741</v>
      </c>
      <c r="AA87" s="43">
        <v>6.8</v>
      </c>
      <c r="AB87" s="43">
        <f t="shared" ref="AB87:AB88" si="62">(V87+X87)*AA87/1000</f>
        <v>0.26747937096774194</v>
      </c>
      <c r="AC87" s="43">
        <f t="shared" si="31"/>
        <v>0.16666666666666666</v>
      </c>
      <c r="AD87" s="47">
        <v>0</v>
      </c>
      <c r="AE87" s="47">
        <v>0</v>
      </c>
      <c r="AF87" s="43">
        <f t="shared" si="50"/>
        <v>0.43414603763440862</v>
      </c>
      <c r="AG87" s="47">
        <v>0</v>
      </c>
      <c r="AH87" s="48">
        <f t="shared" si="51"/>
        <v>0.19485512997311827</v>
      </c>
      <c r="AI87" s="47">
        <v>0</v>
      </c>
      <c r="AJ87" s="49">
        <f t="shared" si="52"/>
        <v>2.1434064297043012</v>
      </c>
      <c r="AK87" s="50"/>
    </row>
    <row r="88" spans="1:37" ht="15" customHeight="1" thickTop="1" thickBot="1" x14ac:dyDescent="0.4">
      <c r="A88" s="35">
        <v>27</v>
      </c>
      <c r="B88" s="36">
        <v>45932</v>
      </c>
      <c r="C88" s="35" t="s">
        <v>0</v>
      </c>
      <c r="D88" s="35"/>
      <c r="E88" s="37" t="s">
        <v>88</v>
      </c>
      <c r="F88" s="35" t="s">
        <v>45</v>
      </c>
      <c r="G88" s="35"/>
      <c r="H88" s="38" t="s">
        <v>46</v>
      </c>
      <c r="I88" s="35" t="s">
        <v>71</v>
      </c>
      <c r="J88" s="35"/>
      <c r="K88" s="35" t="s">
        <v>89</v>
      </c>
      <c r="L88" s="39"/>
      <c r="M88" s="40"/>
      <c r="N88" s="41"/>
      <c r="O88" s="42" t="s">
        <v>50</v>
      </c>
      <c r="P88" s="43">
        <v>180</v>
      </c>
      <c r="Q88" s="43"/>
      <c r="R88" s="43">
        <v>0</v>
      </c>
      <c r="S88" s="44">
        <v>44</v>
      </c>
      <c r="T88" s="43">
        <f>T87</f>
        <v>13.75</v>
      </c>
      <c r="U88" s="43">
        <f>U87</f>
        <v>20.5</v>
      </c>
      <c r="V88" s="43">
        <f>T88*U88*P88/1550</f>
        <v>32.733870967741936</v>
      </c>
      <c r="W88" s="43">
        <f t="shared" si="0"/>
        <v>1.4402903225806452</v>
      </c>
      <c r="X88" s="46">
        <f t="shared" si="1"/>
        <v>0.98201612903225799</v>
      </c>
      <c r="Y88" s="43">
        <f t="shared" si="60"/>
        <v>4.3208709677419348E-2</v>
      </c>
      <c r="Z88" s="43">
        <f t="shared" si="61"/>
        <v>1.4834990322580646</v>
      </c>
      <c r="AA88" s="43">
        <v>6.8</v>
      </c>
      <c r="AB88" s="43">
        <f t="shared" si="62"/>
        <v>0.22926803225806452</v>
      </c>
      <c r="AC88" s="43">
        <f t="shared" si="31"/>
        <v>0.16666666666666666</v>
      </c>
      <c r="AD88" s="47">
        <v>0</v>
      </c>
      <c r="AE88" s="47">
        <v>0</v>
      </c>
      <c r="AF88" s="43">
        <f t="shared" si="50"/>
        <v>0.39593469892473121</v>
      </c>
      <c r="AG88" s="47">
        <v>0</v>
      </c>
      <c r="AH88" s="48">
        <f t="shared" si="51"/>
        <v>0.18794337311827958</v>
      </c>
      <c r="AI88" s="47">
        <v>0</v>
      </c>
      <c r="AJ88" s="49">
        <f t="shared" si="52"/>
        <v>2.0673771043010754</v>
      </c>
      <c r="AK88" s="50"/>
    </row>
    <row r="89" spans="1:37" ht="15" customHeight="1" thickTop="1" thickBot="1" x14ac:dyDescent="0.4">
      <c r="A89" s="35">
        <v>28</v>
      </c>
      <c r="B89" s="36">
        <v>45932</v>
      </c>
      <c r="C89" s="35" t="s">
        <v>0</v>
      </c>
      <c r="D89" s="38"/>
      <c r="E89" s="37" t="s">
        <v>90</v>
      </c>
      <c r="F89" s="35" t="s">
        <v>45</v>
      </c>
      <c r="G89" s="35"/>
      <c r="H89" s="38" t="s">
        <v>46</v>
      </c>
      <c r="I89" s="35" t="s">
        <v>91</v>
      </c>
      <c r="J89" s="35"/>
      <c r="K89" s="35" t="s">
        <v>89</v>
      </c>
      <c r="L89" s="39">
        <v>73</v>
      </c>
      <c r="M89" s="40">
        <v>53</v>
      </c>
      <c r="N89" s="41">
        <v>410</v>
      </c>
      <c r="O89" s="42" t="s">
        <v>50</v>
      </c>
      <c r="P89" s="43">
        <v>230</v>
      </c>
      <c r="Q89" s="43"/>
      <c r="R89" s="43">
        <v>0</v>
      </c>
      <c r="S89" s="44">
        <v>44</v>
      </c>
      <c r="T89" s="45">
        <f>((M89+N89+20)+(M89*70%+20))/25.4</f>
        <v>21.263779527559056</v>
      </c>
      <c r="U89" s="45">
        <f>(((L89+M89)*2+55)+55)/25.4</f>
        <v>14.251968503937009</v>
      </c>
      <c r="V89" s="43">
        <f>T90*U90*P89/1550</f>
        <v>48.949193548387093</v>
      </c>
      <c r="W89" s="43">
        <f t="shared" si="0"/>
        <v>2.1537645161290322</v>
      </c>
      <c r="X89" s="46">
        <f t="shared" si="1"/>
        <v>1.4684758064516128</v>
      </c>
      <c r="Y89" s="43">
        <f>S89*X89/1000</f>
        <v>6.4612935483870954E-2</v>
      </c>
      <c r="Z89" s="43">
        <f>W89+Y89</f>
        <v>2.2183774516129033</v>
      </c>
      <c r="AA89" s="43">
        <v>6.8</v>
      </c>
      <c r="AB89" s="43">
        <f>(V89+X89)*AA89/1000</f>
        <v>0.34284015161290321</v>
      </c>
      <c r="AC89" s="43">
        <f t="shared" si="31"/>
        <v>0.16666666666666666</v>
      </c>
      <c r="AD89" s="47">
        <v>0</v>
      </c>
      <c r="AE89" s="47">
        <v>0</v>
      </c>
      <c r="AF89" s="43">
        <f t="shared" si="50"/>
        <v>0.5095068182795699</v>
      </c>
      <c r="AG89" s="47">
        <v>0</v>
      </c>
      <c r="AH89" s="48">
        <f t="shared" si="51"/>
        <v>0.27278842698924732</v>
      </c>
      <c r="AI89" s="47">
        <v>0</v>
      </c>
      <c r="AJ89" s="49">
        <f t="shared" si="52"/>
        <v>3.0006726968817206</v>
      </c>
      <c r="AK89" s="50">
        <f t="shared" si="53"/>
        <v>7.8660641586290314</v>
      </c>
    </row>
    <row r="90" spans="1:37" ht="15" customHeight="1" thickTop="1" thickBot="1" x14ac:dyDescent="0.4">
      <c r="A90" s="35">
        <v>28</v>
      </c>
      <c r="B90" s="36">
        <v>45932</v>
      </c>
      <c r="C90" s="35" t="s">
        <v>0</v>
      </c>
      <c r="D90" s="38"/>
      <c r="E90" s="37" t="s">
        <v>90</v>
      </c>
      <c r="F90" s="35" t="s">
        <v>45</v>
      </c>
      <c r="G90" s="35"/>
      <c r="H90" s="38" t="s">
        <v>46</v>
      </c>
      <c r="I90" s="35" t="s">
        <v>91</v>
      </c>
      <c r="J90" s="35"/>
      <c r="K90" s="35" t="s">
        <v>89</v>
      </c>
      <c r="L90" s="39"/>
      <c r="M90" s="40"/>
      <c r="N90" s="41"/>
      <c r="O90" s="42" t="s">
        <v>51</v>
      </c>
      <c r="P90" s="43">
        <v>150</v>
      </c>
      <c r="Q90" s="43"/>
      <c r="R90" s="43">
        <v>0</v>
      </c>
      <c r="S90" s="44">
        <v>38.5</v>
      </c>
      <c r="T90" s="43">
        <f>ROUNDUP($T89,0)+0.75</f>
        <v>22.75</v>
      </c>
      <c r="U90" s="43">
        <f>CEILING($U89,0.5)</f>
        <v>14.5</v>
      </c>
      <c r="V90" s="43">
        <f>T90*U90*P90*1.4/1550</f>
        <v>44.692741935483873</v>
      </c>
      <c r="W90" s="43">
        <f t="shared" si="0"/>
        <v>1.7206705645161291</v>
      </c>
      <c r="X90" s="46">
        <f t="shared" si="1"/>
        <v>1.3407822580645161</v>
      </c>
      <c r="Y90" s="43">
        <f t="shared" ref="Y90:Y91" si="63">S90*X90/1000</f>
        <v>5.1620116935483872E-2</v>
      </c>
      <c r="Z90" s="43">
        <f t="shared" ref="Z90:Z91" si="64">W90+Y90</f>
        <v>1.7722906814516131</v>
      </c>
      <c r="AA90" s="43">
        <v>6.8</v>
      </c>
      <c r="AB90" s="43">
        <f t="shared" ref="AB90:AB91" si="65">(V90+X90)*AA90/1000</f>
        <v>0.31302796451612902</v>
      </c>
      <c r="AC90" s="43">
        <f t="shared" si="31"/>
        <v>0.16666666666666666</v>
      </c>
      <c r="AD90" s="47">
        <v>0</v>
      </c>
      <c r="AE90" s="47">
        <v>0</v>
      </c>
      <c r="AF90" s="43">
        <f t="shared" si="50"/>
        <v>0.47969463118279565</v>
      </c>
      <c r="AG90" s="47">
        <v>0</v>
      </c>
      <c r="AH90" s="48">
        <f t="shared" si="51"/>
        <v>0.22519853126344086</v>
      </c>
      <c r="AI90" s="47">
        <v>0</v>
      </c>
      <c r="AJ90" s="49">
        <f t="shared" si="52"/>
        <v>2.4771838438978495</v>
      </c>
      <c r="AK90" s="50"/>
    </row>
    <row r="91" spans="1:37" ht="15" customHeight="1" thickTop="1" thickBot="1" x14ac:dyDescent="0.4">
      <c r="A91" s="35">
        <v>28</v>
      </c>
      <c r="B91" s="36">
        <v>45932</v>
      </c>
      <c r="C91" s="35" t="s">
        <v>0</v>
      </c>
      <c r="D91" s="38"/>
      <c r="E91" s="37" t="s">
        <v>90</v>
      </c>
      <c r="F91" s="35" t="s">
        <v>45</v>
      </c>
      <c r="G91" s="35"/>
      <c r="H91" s="38" t="s">
        <v>46</v>
      </c>
      <c r="I91" s="35" t="s">
        <v>91</v>
      </c>
      <c r="J91" s="35"/>
      <c r="K91" s="35" t="s">
        <v>89</v>
      </c>
      <c r="L91" s="39"/>
      <c r="M91" s="40"/>
      <c r="N91" s="41"/>
      <c r="O91" s="42" t="s">
        <v>50</v>
      </c>
      <c r="P91" s="43">
        <v>180</v>
      </c>
      <c r="Q91" s="43"/>
      <c r="R91" s="43">
        <v>0</v>
      </c>
      <c r="S91" s="44">
        <v>44</v>
      </c>
      <c r="T91" s="43">
        <f>T90</f>
        <v>22.75</v>
      </c>
      <c r="U91" s="43">
        <f>U90</f>
        <v>14.5</v>
      </c>
      <c r="V91" s="43">
        <f>T91*U91*P91/1550</f>
        <v>38.308064516129029</v>
      </c>
      <c r="W91" s="43">
        <f t="shared" si="0"/>
        <v>1.6855548387096773</v>
      </c>
      <c r="X91" s="46">
        <f t="shared" si="1"/>
        <v>1.1492419354838708</v>
      </c>
      <c r="Y91" s="43">
        <f t="shared" si="63"/>
        <v>5.0566645161290308E-2</v>
      </c>
      <c r="Z91" s="43">
        <f t="shared" si="64"/>
        <v>1.7361214838709675</v>
      </c>
      <c r="AA91" s="43">
        <v>6.8</v>
      </c>
      <c r="AB91" s="43">
        <f t="shared" si="65"/>
        <v>0.26830968387096771</v>
      </c>
      <c r="AC91" s="43">
        <f t="shared" si="31"/>
        <v>0.16666666666666666</v>
      </c>
      <c r="AD91" s="47">
        <v>0</v>
      </c>
      <c r="AE91" s="47">
        <v>0</v>
      </c>
      <c r="AF91" s="43">
        <f t="shared" si="50"/>
        <v>0.43497635053763439</v>
      </c>
      <c r="AG91" s="47">
        <v>0</v>
      </c>
      <c r="AH91" s="48">
        <f t="shared" si="51"/>
        <v>0.21710978344086018</v>
      </c>
      <c r="AI91" s="47">
        <v>0</v>
      </c>
      <c r="AJ91" s="49">
        <f t="shared" si="52"/>
        <v>2.3882076178494618</v>
      </c>
      <c r="AK91" s="50"/>
    </row>
    <row r="92" spans="1:37" ht="15" customHeight="1" thickTop="1" thickBot="1" x14ac:dyDescent="0.4">
      <c r="A92" s="35">
        <v>29</v>
      </c>
      <c r="B92" s="36">
        <v>45932</v>
      </c>
      <c r="C92" s="35" t="s">
        <v>0</v>
      </c>
      <c r="D92" s="35"/>
      <c r="E92" s="37" t="s">
        <v>92</v>
      </c>
      <c r="F92" s="35" t="s">
        <v>45</v>
      </c>
      <c r="G92" s="35"/>
      <c r="H92" s="38" t="s">
        <v>46</v>
      </c>
      <c r="I92" s="35" t="s">
        <v>91</v>
      </c>
      <c r="J92" s="38" t="s">
        <v>48</v>
      </c>
      <c r="K92" s="38" t="s">
        <v>49</v>
      </c>
      <c r="L92" s="39">
        <v>100</v>
      </c>
      <c r="M92" s="40">
        <v>100</v>
      </c>
      <c r="N92" s="41">
        <v>100</v>
      </c>
      <c r="O92" s="42" t="s">
        <v>50</v>
      </c>
      <c r="P92" s="43">
        <v>230</v>
      </c>
      <c r="Q92" s="43"/>
      <c r="R92" s="43">
        <v>0</v>
      </c>
      <c r="S92" s="44">
        <v>44</v>
      </c>
      <c r="T92" s="45">
        <f>(M92+N92+10)/25.4</f>
        <v>8.2677165354330722</v>
      </c>
      <c r="U92" s="45">
        <f>((L92+M92+L92+M92+55)/25.4)</f>
        <v>17.913385826771655</v>
      </c>
      <c r="V92" s="43">
        <f>T93*U93*P92/1550</f>
        <v>26.041935483870969</v>
      </c>
      <c r="W92" s="43">
        <f t="shared" si="0"/>
        <v>1.1458451612903227</v>
      </c>
      <c r="X92" s="46">
        <f t="shared" si="1"/>
        <v>0.781258064516129</v>
      </c>
      <c r="Y92" s="43">
        <f>S92*X92/1000</f>
        <v>3.4375354838709675E-2</v>
      </c>
      <c r="Z92" s="43">
        <f>W92+Y92</f>
        <v>1.1802205161290322</v>
      </c>
      <c r="AA92" s="43">
        <v>6.8</v>
      </c>
      <c r="AB92" s="43">
        <f>(V92+X92)*AA92/1000</f>
        <v>0.18239771612903227</v>
      </c>
      <c r="AC92" s="43">
        <f t="shared" si="31"/>
        <v>0.16666666666666666</v>
      </c>
      <c r="AD92" s="47">
        <v>0</v>
      </c>
      <c r="AE92" s="47">
        <v>0</v>
      </c>
      <c r="AF92" s="43">
        <f t="shared" si="50"/>
        <v>0.34906438279569896</v>
      </c>
      <c r="AG92" s="47">
        <v>0</v>
      </c>
      <c r="AH92" s="48">
        <f t="shared" si="51"/>
        <v>0.15292848989247312</v>
      </c>
      <c r="AI92" s="47">
        <v>0</v>
      </c>
      <c r="AJ92" s="49">
        <f t="shared" si="52"/>
        <v>1.6822133888172044</v>
      </c>
      <c r="AK92" s="50">
        <f t="shared" si="53"/>
        <v>4.4422902912903224</v>
      </c>
    </row>
    <row r="93" spans="1:37" ht="15" customHeight="1" thickTop="1" thickBot="1" x14ac:dyDescent="0.4">
      <c r="A93" s="35">
        <v>29</v>
      </c>
      <c r="B93" s="36">
        <v>45932</v>
      </c>
      <c r="C93" s="35" t="s">
        <v>0</v>
      </c>
      <c r="D93" s="35"/>
      <c r="E93" s="37" t="s">
        <v>92</v>
      </c>
      <c r="F93" s="35" t="s">
        <v>45</v>
      </c>
      <c r="G93" s="35"/>
      <c r="H93" s="38" t="s">
        <v>46</v>
      </c>
      <c r="I93" s="35" t="s">
        <v>91</v>
      </c>
      <c r="J93" s="38" t="s">
        <v>48</v>
      </c>
      <c r="K93" s="38" t="s">
        <v>49</v>
      </c>
      <c r="L93" s="39"/>
      <c r="M93" s="40"/>
      <c r="N93" s="41"/>
      <c r="O93" s="42" t="s">
        <v>51</v>
      </c>
      <c r="P93" s="43">
        <v>150</v>
      </c>
      <c r="Q93" s="43"/>
      <c r="R93" s="43">
        <v>0</v>
      </c>
      <c r="S93" s="44">
        <v>38.5</v>
      </c>
      <c r="T93" s="43">
        <f>ROUNDUP($T92,0)+0.75</f>
        <v>9.75</v>
      </c>
      <c r="U93" s="43">
        <f>CEILING($U92,0.5)</f>
        <v>18</v>
      </c>
      <c r="V93" s="43">
        <f>T93*U93*P93*1.4/1550</f>
        <v>23.77741935483871</v>
      </c>
      <c r="W93" s="43">
        <f t="shared" si="0"/>
        <v>0.91543064516129025</v>
      </c>
      <c r="X93" s="46">
        <f t="shared" si="1"/>
        <v>0.7133225806451613</v>
      </c>
      <c r="Y93" s="43">
        <f t="shared" ref="Y93:Y94" si="66">S93*X93/1000</f>
        <v>2.7462919354838709E-2</v>
      </c>
      <c r="Z93" s="43">
        <f t="shared" ref="Z93:Z94" si="67">W93+Y93</f>
        <v>0.94289356451612893</v>
      </c>
      <c r="AA93" s="43">
        <v>6.8</v>
      </c>
      <c r="AB93" s="43">
        <f t="shared" ref="AB93:AB94" si="68">(V93+X93)*AA93/1000</f>
        <v>0.16653704516129031</v>
      </c>
      <c r="AC93" s="43">
        <f t="shared" si="31"/>
        <v>0.16666666666666666</v>
      </c>
      <c r="AD93" s="47">
        <v>0</v>
      </c>
      <c r="AE93" s="47">
        <v>0</v>
      </c>
      <c r="AF93" s="43">
        <f t="shared" si="50"/>
        <v>0.33320371182795694</v>
      </c>
      <c r="AG93" s="47">
        <v>0</v>
      </c>
      <c r="AH93" s="48">
        <f t="shared" si="51"/>
        <v>0.12760972763440859</v>
      </c>
      <c r="AI93" s="47">
        <v>0</v>
      </c>
      <c r="AJ93" s="49">
        <f t="shared" si="52"/>
        <v>1.4037070039784945</v>
      </c>
      <c r="AK93" s="50"/>
    </row>
    <row r="94" spans="1:37" ht="15" customHeight="1" thickTop="1" thickBot="1" x14ac:dyDescent="0.4">
      <c r="A94" s="35">
        <v>29</v>
      </c>
      <c r="B94" s="36">
        <v>45932</v>
      </c>
      <c r="C94" s="35" t="s">
        <v>0</v>
      </c>
      <c r="D94" s="35"/>
      <c r="E94" s="37" t="s">
        <v>92</v>
      </c>
      <c r="F94" s="35" t="s">
        <v>45</v>
      </c>
      <c r="G94" s="35"/>
      <c r="H94" s="38" t="s">
        <v>46</v>
      </c>
      <c r="I94" s="35" t="s">
        <v>91</v>
      </c>
      <c r="J94" s="38" t="s">
        <v>48</v>
      </c>
      <c r="K94" s="38" t="s">
        <v>49</v>
      </c>
      <c r="L94" s="39"/>
      <c r="M94" s="40"/>
      <c r="N94" s="41"/>
      <c r="O94" s="42" t="s">
        <v>50</v>
      </c>
      <c r="P94" s="43">
        <v>180</v>
      </c>
      <c r="Q94" s="43"/>
      <c r="R94" s="43">
        <v>0</v>
      </c>
      <c r="S94" s="44">
        <v>44</v>
      </c>
      <c r="T94" s="43">
        <f>T93</f>
        <v>9.75</v>
      </c>
      <c r="U94" s="43">
        <f>U93</f>
        <v>18</v>
      </c>
      <c r="V94" s="43">
        <f>T94*U94*P94/1550</f>
        <v>20.380645161290321</v>
      </c>
      <c r="W94" s="43">
        <f t="shared" si="0"/>
        <v>0.89674838709677407</v>
      </c>
      <c r="X94" s="46">
        <f t="shared" si="1"/>
        <v>0.61141935483870957</v>
      </c>
      <c r="Y94" s="43">
        <f t="shared" si="66"/>
        <v>2.6902451612903222E-2</v>
      </c>
      <c r="Z94" s="43">
        <f t="shared" si="67"/>
        <v>0.92365083870967735</v>
      </c>
      <c r="AA94" s="43">
        <v>6.8</v>
      </c>
      <c r="AB94" s="43">
        <f t="shared" si="68"/>
        <v>0.14274603870967742</v>
      </c>
      <c r="AC94" s="43">
        <f t="shared" si="31"/>
        <v>0.16666666666666666</v>
      </c>
      <c r="AD94" s="47">
        <v>0</v>
      </c>
      <c r="AE94" s="47">
        <v>0</v>
      </c>
      <c r="AF94" s="43">
        <f t="shared" si="50"/>
        <v>0.30941270537634408</v>
      </c>
      <c r="AG94" s="47">
        <v>0</v>
      </c>
      <c r="AH94" s="48">
        <f t="shared" si="51"/>
        <v>0.12330635440860215</v>
      </c>
      <c r="AI94" s="47">
        <v>0</v>
      </c>
      <c r="AJ94" s="49">
        <f t="shared" si="52"/>
        <v>1.3563698984946235</v>
      </c>
      <c r="AK94" s="50"/>
    </row>
    <row r="95" spans="1:37" ht="15" customHeight="1" thickTop="1" thickBot="1" x14ac:dyDescent="0.4">
      <c r="A95" s="35">
        <v>30</v>
      </c>
      <c r="B95" s="36">
        <v>45932</v>
      </c>
      <c r="C95" s="35" t="s">
        <v>0</v>
      </c>
      <c r="D95" s="35"/>
      <c r="E95" s="37" t="s">
        <v>93</v>
      </c>
      <c r="F95" s="35" t="s">
        <v>45</v>
      </c>
      <c r="G95" s="35"/>
      <c r="H95" s="38" t="s">
        <v>55</v>
      </c>
      <c r="I95" s="35" t="s">
        <v>91</v>
      </c>
      <c r="J95" s="38" t="s">
        <v>48</v>
      </c>
      <c r="K95" s="38" t="s">
        <v>49</v>
      </c>
      <c r="L95" s="39">
        <v>100</v>
      </c>
      <c r="M95" s="40">
        <v>100</v>
      </c>
      <c r="N95" s="41">
        <v>100</v>
      </c>
      <c r="O95" s="42" t="s">
        <v>50</v>
      </c>
      <c r="P95" s="43">
        <v>230</v>
      </c>
      <c r="Q95" s="43"/>
      <c r="R95" s="43">
        <v>0</v>
      </c>
      <c r="S95" s="44">
        <v>44</v>
      </c>
      <c r="T95" s="45">
        <f>(M95+N95+10)/25.4</f>
        <v>8.2677165354330722</v>
      </c>
      <c r="U95" s="45">
        <f>((L95+M95+L95+M95+55)/25.4)</f>
        <v>17.913385826771655</v>
      </c>
      <c r="V95" s="43">
        <f>T96*U96*P95/1550</f>
        <v>26.041935483870969</v>
      </c>
      <c r="W95" s="43">
        <f t="shared" si="0"/>
        <v>1.1458451612903227</v>
      </c>
      <c r="X95" s="46">
        <f t="shared" si="1"/>
        <v>0.781258064516129</v>
      </c>
      <c r="Y95" s="43">
        <f>S95*X95/1000</f>
        <v>3.4375354838709675E-2</v>
      </c>
      <c r="Z95" s="43">
        <f>W95+Y95</f>
        <v>1.1802205161290322</v>
      </c>
      <c r="AA95" s="43">
        <v>6.8</v>
      </c>
      <c r="AB95" s="43">
        <f>(V95+X95)*AA95/1000</f>
        <v>0.18239771612903227</v>
      </c>
      <c r="AC95" s="43">
        <f t="shared" si="31"/>
        <v>0.16666666666666666</v>
      </c>
      <c r="AD95" s="47">
        <v>0</v>
      </c>
      <c r="AE95" s="47">
        <v>0</v>
      </c>
      <c r="AF95" s="43">
        <f t="shared" si="50"/>
        <v>0.34906438279569896</v>
      </c>
      <c r="AG95" s="47">
        <v>0</v>
      </c>
      <c r="AH95" s="48">
        <f t="shared" si="51"/>
        <v>0.15292848989247312</v>
      </c>
      <c r="AI95" s="47">
        <v>0</v>
      </c>
      <c r="AJ95" s="49">
        <f t="shared" si="52"/>
        <v>1.6822133888172044</v>
      </c>
      <c r="AK95" s="50">
        <f t="shared" si="53"/>
        <v>6.8357005270967743</v>
      </c>
    </row>
    <row r="96" spans="1:37" ht="15" customHeight="1" thickTop="1" thickBot="1" x14ac:dyDescent="0.4">
      <c r="A96" s="35">
        <v>30</v>
      </c>
      <c r="B96" s="36">
        <v>45932</v>
      </c>
      <c r="C96" s="35" t="s">
        <v>0</v>
      </c>
      <c r="D96" s="35"/>
      <c r="E96" s="37" t="s">
        <v>93</v>
      </c>
      <c r="F96" s="35" t="s">
        <v>45</v>
      </c>
      <c r="G96" s="35"/>
      <c r="H96" s="38" t="s">
        <v>55</v>
      </c>
      <c r="I96" s="35" t="s">
        <v>91</v>
      </c>
      <c r="J96" s="38" t="s">
        <v>48</v>
      </c>
      <c r="K96" s="38" t="s">
        <v>49</v>
      </c>
      <c r="L96" s="39"/>
      <c r="M96" s="40"/>
      <c r="N96" s="41"/>
      <c r="O96" s="42" t="s">
        <v>51</v>
      </c>
      <c r="P96" s="43">
        <v>150</v>
      </c>
      <c r="Q96" s="43"/>
      <c r="R96" s="43">
        <v>0</v>
      </c>
      <c r="S96" s="44">
        <v>38.5</v>
      </c>
      <c r="T96" s="43">
        <f>ROUNDUP($T95,0)+0.75</f>
        <v>9.75</v>
      </c>
      <c r="U96" s="43">
        <f>CEILING($U95,0.5)</f>
        <v>18</v>
      </c>
      <c r="V96" s="43">
        <f>T96*U96*P96*1.4*2/1550</f>
        <v>47.554838709677419</v>
      </c>
      <c r="W96" s="43">
        <f t="shared" si="0"/>
        <v>1.8308612903225805</v>
      </c>
      <c r="X96" s="46">
        <f t="shared" si="1"/>
        <v>1.4266451612903226</v>
      </c>
      <c r="Y96" s="43">
        <f t="shared" ref="Y96:Y97" si="69">S96*X96/1000</f>
        <v>5.4925838709677419E-2</v>
      </c>
      <c r="Z96" s="43">
        <f t="shared" ref="Z96:Z97" si="70">W96+Y96</f>
        <v>1.8857871290322579</v>
      </c>
      <c r="AA96" s="43">
        <v>6.8</v>
      </c>
      <c r="AB96" s="43">
        <f t="shared" ref="AB96:AB97" si="71">(V96+X96)*AA96/1000</f>
        <v>0.33307409032258062</v>
      </c>
      <c r="AC96" s="43">
        <f t="shared" si="31"/>
        <v>0.16666666666666666</v>
      </c>
      <c r="AD96" s="47">
        <v>0</v>
      </c>
      <c r="AE96" s="47">
        <v>0</v>
      </c>
      <c r="AF96" s="43">
        <f t="shared" si="50"/>
        <v>0.49974075698924725</v>
      </c>
      <c r="AG96" s="47">
        <v>0</v>
      </c>
      <c r="AH96" s="48">
        <f t="shared" si="51"/>
        <v>0.23855278860215054</v>
      </c>
      <c r="AI96" s="47">
        <v>0</v>
      </c>
      <c r="AJ96" s="49">
        <f t="shared" si="52"/>
        <v>2.6240806746236558</v>
      </c>
      <c r="AK96" s="50"/>
    </row>
    <row r="97" spans="1:37" ht="15" customHeight="1" thickTop="1" thickBot="1" x14ac:dyDescent="0.4">
      <c r="A97" s="35">
        <v>30</v>
      </c>
      <c r="B97" s="36">
        <v>45932</v>
      </c>
      <c r="C97" s="35" t="s">
        <v>0</v>
      </c>
      <c r="D97" s="35"/>
      <c r="E97" s="37" t="s">
        <v>93</v>
      </c>
      <c r="F97" s="35" t="s">
        <v>45</v>
      </c>
      <c r="G97" s="35"/>
      <c r="H97" s="38" t="s">
        <v>55</v>
      </c>
      <c r="I97" s="35" t="s">
        <v>91</v>
      </c>
      <c r="J97" s="38" t="s">
        <v>48</v>
      </c>
      <c r="K97" s="38" t="s">
        <v>49</v>
      </c>
      <c r="L97" s="39"/>
      <c r="M97" s="40"/>
      <c r="N97" s="41"/>
      <c r="O97" s="42" t="s">
        <v>50</v>
      </c>
      <c r="P97" s="43">
        <v>180</v>
      </c>
      <c r="Q97" s="43"/>
      <c r="R97" s="43">
        <v>0</v>
      </c>
      <c r="S97" s="44">
        <v>44</v>
      </c>
      <c r="T97" s="43">
        <f>T96</f>
        <v>9.75</v>
      </c>
      <c r="U97" s="43">
        <f>U96</f>
        <v>18</v>
      </c>
      <c r="V97" s="43">
        <f>T97*U97*P97*2/1550</f>
        <v>40.761290322580642</v>
      </c>
      <c r="W97" s="43">
        <f t="shared" si="0"/>
        <v>1.7934967741935481</v>
      </c>
      <c r="X97" s="46">
        <f t="shared" si="1"/>
        <v>1.2228387096774191</v>
      </c>
      <c r="Y97" s="43">
        <f t="shared" si="69"/>
        <v>5.3804903225806444E-2</v>
      </c>
      <c r="Z97" s="43">
        <f t="shared" si="70"/>
        <v>1.8473016774193547</v>
      </c>
      <c r="AA97" s="43">
        <v>6.8</v>
      </c>
      <c r="AB97" s="43">
        <f t="shared" si="71"/>
        <v>0.28549207741935484</v>
      </c>
      <c r="AC97" s="43">
        <f t="shared" si="31"/>
        <v>0.16666666666666666</v>
      </c>
      <c r="AD97" s="47">
        <v>0</v>
      </c>
      <c r="AE97" s="47">
        <v>0</v>
      </c>
      <c r="AF97" s="43">
        <f t="shared" si="50"/>
        <v>0.45215874408602152</v>
      </c>
      <c r="AG97" s="47">
        <v>0</v>
      </c>
      <c r="AH97" s="48">
        <f t="shared" si="51"/>
        <v>0.22994604215053763</v>
      </c>
      <c r="AI97" s="47">
        <v>0</v>
      </c>
      <c r="AJ97" s="49">
        <f t="shared" si="52"/>
        <v>2.5294064636559139</v>
      </c>
      <c r="AK97" s="50"/>
    </row>
    <row r="98" spans="1:37" ht="15" customHeight="1" thickTop="1" thickBot="1" x14ac:dyDescent="0.4">
      <c r="A98" s="35">
        <v>31</v>
      </c>
      <c r="B98" s="36">
        <v>45932</v>
      </c>
      <c r="C98" s="35" t="s">
        <v>0</v>
      </c>
      <c r="D98" s="35"/>
      <c r="E98" s="37" t="s">
        <v>94</v>
      </c>
      <c r="F98" s="35" t="s">
        <v>45</v>
      </c>
      <c r="G98" s="35"/>
      <c r="H98" s="38" t="s">
        <v>46</v>
      </c>
      <c r="I98" s="35" t="s">
        <v>91</v>
      </c>
      <c r="J98" s="38" t="s">
        <v>57</v>
      </c>
      <c r="K98" s="38" t="s">
        <v>49</v>
      </c>
      <c r="L98" s="39">
        <v>100</v>
      </c>
      <c r="M98" s="40">
        <v>100</v>
      </c>
      <c r="N98" s="41">
        <v>100</v>
      </c>
      <c r="O98" s="42" t="s">
        <v>50</v>
      </c>
      <c r="P98" s="43">
        <v>230</v>
      </c>
      <c r="Q98" s="43"/>
      <c r="R98" s="43">
        <v>0</v>
      </c>
      <c r="S98" s="44">
        <v>44</v>
      </c>
      <c r="T98" s="45">
        <f>(M98+N98+10)/25.4</f>
        <v>8.2677165354330722</v>
      </c>
      <c r="U98" s="45">
        <f>((L98+M98+L98+M98+55+55)/25.4)</f>
        <v>20.078740157480315</v>
      </c>
      <c r="V98" s="43">
        <f>T99*U99*P98/1550</f>
        <v>29.658870967741937</v>
      </c>
      <c r="W98" s="43">
        <f t="shared" si="0"/>
        <v>1.3049903225806452</v>
      </c>
      <c r="X98" s="46">
        <f t="shared" si="1"/>
        <v>0.88976612903225805</v>
      </c>
      <c r="Y98" s="43">
        <f>S98*X98/1000</f>
        <v>3.9149709677419355E-2</v>
      </c>
      <c r="Z98" s="43">
        <f>W98+Y98</f>
        <v>1.3441400322580646</v>
      </c>
      <c r="AA98" s="43">
        <v>6.8</v>
      </c>
      <c r="AB98" s="43">
        <f>(V98+X98)*AA98/1000</f>
        <v>0.20773073225806452</v>
      </c>
      <c r="AC98" s="43">
        <f t="shared" si="31"/>
        <v>0.16666666666666666</v>
      </c>
      <c r="AD98" s="47">
        <v>0</v>
      </c>
      <c r="AE98" s="47">
        <v>0</v>
      </c>
      <c r="AF98" s="43">
        <f t="shared" si="50"/>
        <v>0.37439739892473117</v>
      </c>
      <c r="AG98" s="47">
        <v>0</v>
      </c>
      <c r="AH98" s="48">
        <f t="shared" si="51"/>
        <v>0.17185374311827958</v>
      </c>
      <c r="AI98" s="47">
        <v>0</v>
      </c>
      <c r="AJ98" s="49">
        <f t="shared" si="52"/>
        <v>1.8903911743010753</v>
      </c>
      <c r="AK98" s="50">
        <f t="shared" si="53"/>
        <v>4.9828861650806457</v>
      </c>
    </row>
    <row r="99" spans="1:37" ht="15" customHeight="1" thickTop="1" thickBot="1" x14ac:dyDescent="0.4">
      <c r="A99" s="35">
        <v>31</v>
      </c>
      <c r="B99" s="36">
        <v>45932</v>
      </c>
      <c r="C99" s="35" t="s">
        <v>0</v>
      </c>
      <c r="D99" s="35"/>
      <c r="E99" s="37" t="s">
        <v>94</v>
      </c>
      <c r="F99" s="35" t="s">
        <v>45</v>
      </c>
      <c r="G99" s="35"/>
      <c r="H99" s="38" t="s">
        <v>46</v>
      </c>
      <c r="I99" s="35" t="s">
        <v>91</v>
      </c>
      <c r="J99" s="38" t="s">
        <v>57</v>
      </c>
      <c r="K99" s="38" t="s">
        <v>49</v>
      </c>
      <c r="L99" s="39"/>
      <c r="M99" s="40"/>
      <c r="N99" s="41"/>
      <c r="O99" s="42" t="s">
        <v>51</v>
      </c>
      <c r="P99" s="43">
        <v>150</v>
      </c>
      <c r="Q99" s="43"/>
      <c r="R99" s="43">
        <v>0</v>
      </c>
      <c r="S99" s="44">
        <v>38.5</v>
      </c>
      <c r="T99" s="43">
        <f>ROUNDUP($T98,0)+0.75</f>
        <v>9.75</v>
      </c>
      <c r="U99" s="43">
        <f>CEILING($U98,0.5)</f>
        <v>20.5</v>
      </c>
      <c r="V99" s="43">
        <f>T99*U99*P99*1.4/1550</f>
        <v>27.079838709677418</v>
      </c>
      <c r="W99" s="43">
        <f t="shared" si="0"/>
        <v>1.0425737903225807</v>
      </c>
      <c r="X99" s="46">
        <f t="shared" si="1"/>
        <v>0.81239516129032252</v>
      </c>
      <c r="Y99" s="43">
        <f t="shared" ref="Y99:Y100" si="72">S99*X99/1000</f>
        <v>3.1277213709677419E-2</v>
      </c>
      <c r="Z99" s="43">
        <f t="shared" ref="Z99:Z100" si="73">W99+Y99</f>
        <v>1.0738510040322582</v>
      </c>
      <c r="AA99" s="43">
        <v>6.8</v>
      </c>
      <c r="AB99" s="43">
        <f t="shared" ref="AB99:AB100" si="74">(V99+X99)*AA99/1000</f>
        <v>0.18966719032258064</v>
      </c>
      <c r="AC99" s="43">
        <f t="shared" si="31"/>
        <v>0.16666666666666666</v>
      </c>
      <c r="AD99" s="47">
        <v>0</v>
      </c>
      <c r="AE99" s="47">
        <v>0</v>
      </c>
      <c r="AF99" s="43">
        <f t="shared" si="50"/>
        <v>0.3563338569892473</v>
      </c>
      <c r="AG99" s="47">
        <v>0</v>
      </c>
      <c r="AH99" s="48">
        <f t="shared" si="51"/>
        <v>0.14301848610215057</v>
      </c>
      <c r="AI99" s="47">
        <v>0</v>
      </c>
      <c r="AJ99" s="49">
        <f t="shared" si="52"/>
        <v>1.5732033471236562</v>
      </c>
      <c r="AK99" s="50"/>
    </row>
    <row r="100" spans="1:37" ht="15" customHeight="1" thickTop="1" thickBot="1" x14ac:dyDescent="0.4">
      <c r="A100" s="35">
        <v>31</v>
      </c>
      <c r="B100" s="36">
        <v>45932</v>
      </c>
      <c r="C100" s="35" t="s">
        <v>0</v>
      </c>
      <c r="D100" s="35"/>
      <c r="E100" s="37" t="s">
        <v>94</v>
      </c>
      <c r="F100" s="35" t="s">
        <v>45</v>
      </c>
      <c r="G100" s="35"/>
      <c r="H100" s="38" t="s">
        <v>46</v>
      </c>
      <c r="I100" s="35" t="s">
        <v>91</v>
      </c>
      <c r="J100" s="38" t="s">
        <v>57</v>
      </c>
      <c r="K100" s="38" t="s">
        <v>49</v>
      </c>
      <c r="L100" s="39"/>
      <c r="M100" s="40"/>
      <c r="N100" s="41"/>
      <c r="O100" s="42" t="s">
        <v>50</v>
      </c>
      <c r="P100" s="43">
        <v>180</v>
      </c>
      <c r="Q100" s="43"/>
      <c r="R100" s="43">
        <v>0</v>
      </c>
      <c r="S100" s="44">
        <v>44</v>
      </c>
      <c r="T100" s="43">
        <f>T99</f>
        <v>9.75</v>
      </c>
      <c r="U100" s="43">
        <f>U99</f>
        <v>20.5</v>
      </c>
      <c r="V100" s="43">
        <f>T100*U100*P100/1550</f>
        <v>23.211290322580645</v>
      </c>
      <c r="W100" s="43">
        <f t="shared" si="0"/>
        <v>1.0212967741935484</v>
      </c>
      <c r="X100" s="46">
        <f t="shared" si="1"/>
        <v>0.69633870967741929</v>
      </c>
      <c r="Y100" s="43">
        <f t="shared" si="72"/>
        <v>3.0638903225806449E-2</v>
      </c>
      <c r="Z100" s="43">
        <f t="shared" si="73"/>
        <v>1.0519356774193549</v>
      </c>
      <c r="AA100" s="43">
        <v>6.8</v>
      </c>
      <c r="AB100" s="43">
        <f t="shared" si="74"/>
        <v>0.16257187741935486</v>
      </c>
      <c r="AC100" s="43">
        <f t="shared" si="31"/>
        <v>0.16666666666666666</v>
      </c>
      <c r="AD100" s="47">
        <v>0</v>
      </c>
      <c r="AE100" s="47">
        <v>0</v>
      </c>
      <c r="AF100" s="43">
        <f t="shared" si="50"/>
        <v>0.32923854408602149</v>
      </c>
      <c r="AG100" s="47">
        <v>0</v>
      </c>
      <c r="AH100" s="48">
        <f t="shared" si="51"/>
        <v>0.13811742215053766</v>
      </c>
      <c r="AI100" s="47">
        <v>0</v>
      </c>
      <c r="AJ100" s="49">
        <f t="shared" si="52"/>
        <v>1.5192916436559141</v>
      </c>
      <c r="AK100" s="50"/>
    </row>
    <row r="101" spans="1:37" ht="15" customHeight="1" thickTop="1" thickBot="1" x14ac:dyDescent="0.4">
      <c r="A101" s="35">
        <v>32</v>
      </c>
      <c r="B101" s="36">
        <v>45932</v>
      </c>
      <c r="C101" s="35" t="s">
        <v>0</v>
      </c>
      <c r="D101" s="35"/>
      <c r="E101" s="37" t="s">
        <v>95</v>
      </c>
      <c r="F101" s="35" t="s">
        <v>45</v>
      </c>
      <c r="G101" s="35"/>
      <c r="H101" s="38" t="s">
        <v>55</v>
      </c>
      <c r="I101" s="35" t="s">
        <v>91</v>
      </c>
      <c r="J101" s="38" t="s">
        <v>57</v>
      </c>
      <c r="K101" s="38" t="s">
        <v>49</v>
      </c>
      <c r="L101" s="39">
        <v>100</v>
      </c>
      <c r="M101" s="40">
        <v>100</v>
      </c>
      <c r="N101" s="41">
        <v>100</v>
      </c>
      <c r="O101" s="42" t="s">
        <v>50</v>
      </c>
      <c r="P101" s="43">
        <v>230</v>
      </c>
      <c r="Q101" s="43"/>
      <c r="R101" s="43">
        <v>0</v>
      </c>
      <c r="S101" s="44">
        <v>44</v>
      </c>
      <c r="T101" s="45">
        <f>(M101+N101+10)/25.4</f>
        <v>8.2677165354330722</v>
      </c>
      <c r="U101" s="45">
        <f>((L101+M101+L101+M101+55+55)/25.4)</f>
        <v>20.078740157480315</v>
      </c>
      <c r="V101" s="43">
        <f>T102*U102*P101/1550</f>
        <v>29.658870967741937</v>
      </c>
      <c r="W101" s="43">
        <f t="shared" si="0"/>
        <v>1.3049903225806452</v>
      </c>
      <c r="X101" s="46">
        <f t="shared" si="1"/>
        <v>0.88976612903225805</v>
      </c>
      <c r="Y101" s="43">
        <f>S101*X101/1000</f>
        <v>3.9149709677419355E-2</v>
      </c>
      <c r="Z101" s="43">
        <f>W101+Y101</f>
        <v>1.3441400322580646</v>
      </c>
      <c r="AA101" s="43">
        <v>6.8</v>
      </c>
      <c r="AB101" s="43">
        <f>(V101+X101)*AA101/1000</f>
        <v>0.20773073225806452</v>
      </c>
      <c r="AC101" s="43">
        <f t="shared" si="31"/>
        <v>0.16666666666666666</v>
      </c>
      <c r="AD101" s="47">
        <v>0</v>
      </c>
      <c r="AE101" s="47">
        <v>0</v>
      </c>
      <c r="AF101" s="43">
        <f t="shared" si="50"/>
        <v>0.37439739892473117</v>
      </c>
      <c r="AG101" s="47">
        <v>0</v>
      </c>
      <c r="AH101" s="48">
        <f t="shared" si="51"/>
        <v>0.17185374311827958</v>
      </c>
      <c r="AI101" s="47">
        <v>0</v>
      </c>
      <c r="AJ101" s="49">
        <f t="shared" si="52"/>
        <v>1.8903911743010753</v>
      </c>
      <c r="AK101" s="50">
        <f t="shared" si="53"/>
        <v>7.7087144891935493</v>
      </c>
    </row>
    <row r="102" spans="1:37" ht="15" customHeight="1" thickTop="1" thickBot="1" x14ac:dyDescent="0.4">
      <c r="A102" s="35">
        <v>32</v>
      </c>
      <c r="B102" s="36">
        <v>45932</v>
      </c>
      <c r="C102" s="35" t="s">
        <v>0</v>
      </c>
      <c r="D102" s="35"/>
      <c r="E102" s="37" t="s">
        <v>95</v>
      </c>
      <c r="F102" s="35" t="s">
        <v>45</v>
      </c>
      <c r="G102" s="35"/>
      <c r="H102" s="38" t="s">
        <v>55</v>
      </c>
      <c r="I102" s="35" t="s">
        <v>91</v>
      </c>
      <c r="J102" s="38" t="s">
        <v>57</v>
      </c>
      <c r="K102" s="38" t="s">
        <v>49</v>
      </c>
      <c r="L102" s="39"/>
      <c r="M102" s="40"/>
      <c r="N102" s="41"/>
      <c r="O102" s="42" t="s">
        <v>51</v>
      </c>
      <c r="P102" s="43">
        <v>150</v>
      </c>
      <c r="Q102" s="43"/>
      <c r="R102" s="43">
        <v>0</v>
      </c>
      <c r="S102" s="44">
        <v>38.5</v>
      </c>
      <c r="T102" s="43">
        <f>ROUNDUP($T101,0)+0.75</f>
        <v>9.75</v>
      </c>
      <c r="U102" s="43">
        <f>CEILING($U101,0.5)</f>
        <v>20.5</v>
      </c>
      <c r="V102" s="43">
        <f>T102*U102*P102*1.4*2/1550</f>
        <v>54.159677419354836</v>
      </c>
      <c r="W102" s="43">
        <f t="shared" si="0"/>
        <v>2.0851475806451614</v>
      </c>
      <c r="X102" s="46">
        <f t="shared" si="1"/>
        <v>1.624790322580645</v>
      </c>
      <c r="Y102" s="43">
        <f t="shared" ref="Y102:Y103" si="75">S102*X102/1000</f>
        <v>6.2554427419354838E-2</v>
      </c>
      <c r="Z102" s="43">
        <f t="shared" ref="Z102:Z103" si="76">W102+Y102</f>
        <v>2.1477020080645164</v>
      </c>
      <c r="AA102" s="43">
        <v>6.8</v>
      </c>
      <c r="AB102" s="43">
        <f t="shared" ref="AB102:AB103" si="77">(V102+X102)*AA102/1000</f>
        <v>0.37933438064516128</v>
      </c>
      <c r="AC102" s="43">
        <f t="shared" si="31"/>
        <v>0.16666666666666666</v>
      </c>
      <c r="AD102" s="47">
        <v>0</v>
      </c>
      <c r="AE102" s="47">
        <v>0</v>
      </c>
      <c r="AF102" s="43">
        <f t="shared" si="50"/>
        <v>0.54600104731182797</v>
      </c>
      <c r="AG102" s="47">
        <v>0</v>
      </c>
      <c r="AH102" s="48">
        <f t="shared" si="51"/>
        <v>0.26937030553763447</v>
      </c>
      <c r="AI102" s="47">
        <v>0</v>
      </c>
      <c r="AJ102" s="49">
        <f t="shared" si="52"/>
        <v>2.9630733609139792</v>
      </c>
      <c r="AK102" s="50"/>
    </row>
    <row r="103" spans="1:37" ht="15" customHeight="1" thickTop="1" thickBot="1" x14ac:dyDescent="0.4">
      <c r="A103" s="35">
        <v>32</v>
      </c>
      <c r="B103" s="36">
        <v>45932</v>
      </c>
      <c r="C103" s="35" t="s">
        <v>0</v>
      </c>
      <c r="D103" s="35"/>
      <c r="E103" s="37" t="s">
        <v>95</v>
      </c>
      <c r="F103" s="35" t="s">
        <v>45</v>
      </c>
      <c r="G103" s="35"/>
      <c r="H103" s="38" t="s">
        <v>55</v>
      </c>
      <c r="I103" s="35" t="s">
        <v>91</v>
      </c>
      <c r="J103" s="38" t="s">
        <v>57</v>
      </c>
      <c r="K103" s="38" t="s">
        <v>49</v>
      </c>
      <c r="L103" s="39"/>
      <c r="M103" s="40"/>
      <c r="N103" s="41"/>
      <c r="O103" s="42" t="s">
        <v>50</v>
      </c>
      <c r="P103" s="43">
        <v>180</v>
      </c>
      <c r="Q103" s="43"/>
      <c r="R103" s="43">
        <v>0</v>
      </c>
      <c r="S103" s="44">
        <v>44</v>
      </c>
      <c r="T103" s="43">
        <f>T102</f>
        <v>9.75</v>
      </c>
      <c r="U103" s="43">
        <f>U102</f>
        <v>20.5</v>
      </c>
      <c r="V103" s="43">
        <f>T103*U103*P103*2/1550</f>
        <v>46.42258064516129</v>
      </c>
      <c r="W103" s="43">
        <f t="shared" si="0"/>
        <v>2.0425935483870967</v>
      </c>
      <c r="X103" s="46">
        <f t="shared" si="1"/>
        <v>1.3926774193548386</v>
      </c>
      <c r="Y103" s="43">
        <f t="shared" si="75"/>
        <v>6.1277806451612897E-2</v>
      </c>
      <c r="Z103" s="43">
        <f t="shared" si="76"/>
        <v>2.1038713548387098</v>
      </c>
      <c r="AA103" s="43">
        <v>6.8</v>
      </c>
      <c r="AB103" s="43">
        <f t="shared" si="77"/>
        <v>0.32514375483870972</v>
      </c>
      <c r="AC103" s="43">
        <f t="shared" si="31"/>
        <v>0.16666666666666666</v>
      </c>
      <c r="AD103" s="47">
        <v>0</v>
      </c>
      <c r="AE103" s="47">
        <v>0</v>
      </c>
      <c r="AF103" s="43">
        <f t="shared" si="50"/>
        <v>0.49181042150537635</v>
      </c>
      <c r="AG103" s="47">
        <v>0</v>
      </c>
      <c r="AH103" s="48">
        <f t="shared" si="51"/>
        <v>0.25956817763440865</v>
      </c>
      <c r="AI103" s="47">
        <v>0</v>
      </c>
      <c r="AJ103" s="49">
        <f t="shared" si="52"/>
        <v>2.855249953978495</v>
      </c>
      <c r="AK103" s="50"/>
    </row>
    <row r="104" spans="1:37" ht="15" customHeight="1" thickTop="1" thickBot="1" x14ac:dyDescent="0.4">
      <c r="A104" s="35">
        <v>33</v>
      </c>
      <c r="B104" s="36">
        <v>45932</v>
      </c>
      <c r="C104" s="35" t="s">
        <v>0</v>
      </c>
      <c r="D104" s="35"/>
      <c r="E104" s="51" t="s">
        <v>96</v>
      </c>
      <c r="F104" s="35" t="s">
        <v>45</v>
      </c>
      <c r="G104" s="35"/>
      <c r="H104" s="38" t="s">
        <v>46</v>
      </c>
      <c r="I104" s="91" t="s">
        <v>53</v>
      </c>
      <c r="J104" s="35"/>
      <c r="K104" s="35" t="s">
        <v>89</v>
      </c>
      <c r="L104" s="39">
        <v>100</v>
      </c>
      <c r="M104" s="40">
        <v>100</v>
      </c>
      <c r="N104" s="41">
        <v>100</v>
      </c>
      <c r="O104" s="42" t="s">
        <v>50</v>
      </c>
      <c r="P104" s="43">
        <v>230</v>
      </c>
      <c r="Q104" s="43"/>
      <c r="R104" s="43">
        <v>0</v>
      </c>
      <c r="S104" s="44">
        <v>44</v>
      </c>
      <c r="T104" s="45">
        <f>((N104+20)+(M104*70%+20))/25.4</f>
        <v>8.2677165354330722</v>
      </c>
      <c r="U104" s="45">
        <f>(((L104+M104)*2+55)+55)/25.4</f>
        <v>20.078740157480315</v>
      </c>
      <c r="V104" s="43">
        <f>T105*U105*P104/1550</f>
        <v>29.658870967741937</v>
      </c>
      <c r="W104" s="43">
        <f t="shared" si="0"/>
        <v>1.3049903225806452</v>
      </c>
      <c r="X104" s="46">
        <f t="shared" si="1"/>
        <v>0.88976612903225805</v>
      </c>
      <c r="Y104" s="43">
        <f>S104*X104/1000</f>
        <v>3.9149709677419355E-2</v>
      </c>
      <c r="Z104" s="43">
        <f>W104+Y104</f>
        <v>1.3441400322580646</v>
      </c>
      <c r="AA104" s="43">
        <v>6.8</v>
      </c>
      <c r="AB104" s="43">
        <f>(V104+X104)*AA104/1000</f>
        <v>0.20773073225806452</v>
      </c>
      <c r="AC104" s="43">
        <f t="shared" si="31"/>
        <v>0.16666666666666666</v>
      </c>
      <c r="AD104" s="47">
        <v>0</v>
      </c>
      <c r="AE104" s="47">
        <v>0</v>
      </c>
      <c r="AF104" s="43">
        <f t="shared" si="50"/>
        <v>0.37439739892473117</v>
      </c>
      <c r="AG104" s="47">
        <v>0</v>
      </c>
      <c r="AH104" s="48">
        <f t="shared" si="51"/>
        <v>0.17185374311827958</v>
      </c>
      <c r="AI104" s="47">
        <v>0</v>
      </c>
      <c r="AJ104" s="49">
        <f t="shared" si="52"/>
        <v>1.8903911743010753</v>
      </c>
      <c r="AK104" s="50">
        <f t="shared" si="53"/>
        <v>5.6319596984838709</v>
      </c>
    </row>
    <row r="105" spans="1:37" ht="15" customHeight="1" thickTop="1" thickBot="1" x14ac:dyDescent="0.4">
      <c r="A105" s="35">
        <v>33</v>
      </c>
      <c r="B105" s="36">
        <v>45932</v>
      </c>
      <c r="C105" s="35" t="s">
        <v>0</v>
      </c>
      <c r="D105" s="35"/>
      <c r="E105" s="51" t="s">
        <v>96</v>
      </c>
      <c r="F105" s="35" t="s">
        <v>45</v>
      </c>
      <c r="G105" s="35"/>
      <c r="H105" s="38" t="s">
        <v>46</v>
      </c>
      <c r="I105" s="91" t="s">
        <v>53</v>
      </c>
      <c r="J105" s="35"/>
      <c r="K105" s="35" t="s">
        <v>89</v>
      </c>
      <c r="L105" s="39"/>
      <c r="M105" s="40"/>
      <c r="N105" s="41"/>
      <c r="O105" s="42" t="s">
        <v>51</v>
      </c>
      <c r="P105" s="43">
        <v>180</v>
      </c>
      <c r="Q105" s="43"/>
      <c r="R105" s="43">
        <v>0</v>
      </c>
      <c r="S105" s="44">
        <v>38.5</v>
      </c>
      <c r="T105" s="43">
        <f>ROUNDUP($T104,0)+0.75</f>
        <v>9.75</v>
      </c>
      <c r="U105" s="43">
        <f>CEILING($U104,0.5)</f>
        <v>20.5</v>
      </c>
      <c r="V105" s="43">
        <f>T105*U105*P105*1.4/1550</f>
        <v>32.4958064516129</v>
      </c>
      <c r="W105" s="43">
        <f t="shared" si="0"/>
        <v>1.2510885483870966</v>
      </c>
      <c r="X105" s="46">
        <f t="shared" si="1"/>
        <v>0.974874193548387</v>
      </c>
      <c r="Y105" s="43">
        <f t="shared" ref="Y105:Y106" si="78">S105*X105/1000</f>
        <v>3.7532656451612904E-2</v>
      </c>
      <c r="Z105" s="43">
        <f t="shared" ref="Z105:Z106" si="79">W105+Y105</f>
        <v>1.2886212048387096</v>
      </c>
      <c r="AA105" s="43">
        <v>6.8</v>
      </c>
      <c r="AB105" s="43">
        <f t="shared" ref="AB105:AB106" si="80">(V105+X105)*AA105/1000</f>
        <v>0.22760062838709674</v>
      </c>
      <c r="AC105" s="43">
        <f t="shared" si="31"/>
        <v>0.16666666666666666</v>
      </c>
      <c r="AD105" s="47">
        <v>0</v>
      </c>
      <c r="AE105" s="47">
        <v>0</v>
      </c>
      <c r="AF105" s="43">
        <f t="shared" si="50"/>
        <v>0.3942672950537634</v>
      </c>
      <c r="AG105" s="47">
        <v>0</v>
      </c>
      <c r="AH105" s="48">
        <f t="shared" si="51"/>
        <v>0.16828884998924731</v>
      </c>
      <c r="AI105" s="47">
        <v>0</v>
      </c>
      <c r="AJ105" s="49">
        <f t="shared" si="52"/>
        <v>1.8511773498817203</v>
      </c>
      <c r="AK105" s="50"/>
    </row>
    <row r="106" spans="1:37" ht="15" customHeight="1" thickTop="1" thickBot="1" x14ac:dyDescent="0.4">
      <c r="A106" s="35">
        <v>33</v>
      </c>
      <c r="B106" s="36">
        <v>45932</v>
      </c>
      <c r="C106" s="35" t="s">
        <v>0</v>
      </c>
      <c r="D106" s="35"/>
      <c r="E106" s="51" t="s">
        <v>96</v>
      </c>
      <c r="F106" s="35" t="s">
        <v>45</v>
      </c>
      <c r="G106" s="35"/>
      <c r="H106" s="38" t="s">
        <v>46</v>
      </c>
      <c r="I106" s="91" t="s">
        <v>53</v>
      </c>
      <c r="J106" s="35"/>
      <c r="K106" s="35" t="s">
        <v>89</v>
      </c>
      <c r="L106" s="39"/>
      <c r="M106" s="40"/>
      <c r="N106" s="41"/>
      <c r="O106" s="42" t="s">
        <v>50</v>
      </c>
      <c r="P106" s="43">
        <v>230</v>
      </c>
      <c r="Q106" s="43"/>
      <c r="R106" s="43">
        <v>0</v>
      </c>
      <c r="S106" s="44">
        <v>44</v>
      </c>
      <c r="T106" s="43">
        <f>T105</f>
        <v>9.75</v>
      </c>
      <c r="U106" s="43">
        <f>U105</f>
        <v>20.5</v>
      </c>
      <c r="V106" s="43">
        <f>T106*U106*P106/1550</f>
        <v>29.658870967741937</v>
      </c>
      <c r="W106" s="43">
        <f t="shared" si="0"/>
        <v>1.3049903225806452</v>
      </c>
      <c r="X106" s="46">
        <f t="shared" si="1"/>
        <v>0.88976612903225805</v>
      </c>
      <c r="Y106" s="43">
        <f t="shared" si="78"/>
        <v>3.9149709677419355E-2</v>
      </c>
      <c r="Z106" s="43">
        <f t="shared" si="79"/>
        <v>1.3441400322580646</v>
      </c>
      <c r="AA106" s="43">
        <v>6.8</v>
      </c>
      <c r="AB106" s="43">
        <f t="shared" si="80"/>
        <v>0.20773073225806452</v>
      </c>
      <c r="AC106" s="43">
        <f t="shared" si="31"/>
        <v>0.16666666666666666</v>
      </c>
      <c r="AD106" s="47">
        <v>0</v>
      </c>
      <c r="AE106" s="47">
        <v>0</v>
      </c>
      <c r="AF106" s="43">
        <f t="shared" si="50"/>
        <v>0.37439739892473117</v>
      </c>
      <c r="AG106" s="47">
        <v>0</v>
      </c>
      <c r="AH106" s="48">
        <f t="shared" si="51"/>
        <v>0.17185374311827958</v>
      </c>
      <c r="AI106" s="47">
        <v>0</v>
      </c>
      <c r="AJ106" s="49">
        <f t="shared" si="52"/>
        <v>1.8903911743010753</v>
      </c>
      <c r="AK106" s="50"/>
    </row>
    <row r="107" spans="1:37" ht="15" customHeight="1" thickTop="1" thickBot="1" x14ac:dyDescent="0.4">
      <c r="A107" s="35">
        <v>34</v>
      </c>
      <c r="B107" s="36">
        <v>45932</v>
      </c>
      <c r="C107" s="35" t="s">
        <v>0</v>
      </c>
      <c r="D107" s="35"/>
      <c r="E107" s="51" t="s">
        <v>97</v>
      </c>
      <c r="F107" s="35" t="s">
        <v>45</v>
      </c>
      <c r="G107" s="35"/>
      <c r="H107" s="38" t="s">
        <v>55</v>
      </c>
      <c r="I107" s="91" t="s">
        <v>53</v>
      </c>
      <c r="J107" s="35"/>
      <c r="K107" s="35" t="s">
        <v>89</v>
      </c>
      <c r="L107" s="39">
        <v>100</v>
      </c>
      <c r="M107" s="40">
        <v>100</v>
      </c>
      <c r="N107" s="41">
        <v>100</v>
      </c>
      <c r="O107" s="42" t="s">
        <v>50</v>
      </c>
      <c r="P107" s="43">
        <v>230</v>
      </c>
      <c r="Q107" s="43"/>
      <c r="R107" s="43">
        <v>0</v>
      </c>
      <c r="S107" s="44">
        <v>44</v>
      </c>
      <c r="T107" s="45">
        <f>((N107+20)+(M107*70%+20))/25.4</f>
        <v>8.2677165354330722</v>
      </c>
      <c r="U107" s="45">
        <f>(((L107+M107)*2+55)+55)/25.4</f>
        <v>20.078740157480315</v>
      </c>
      <c r="V107" s="43">
        <f>T108*U108*P107/1550</f>
        <v>29.658870967741937</v>
      </c>
      <c r="W107" s="43">
        <f t="shared" si="0"/>
        <v>1.3049903225806452</v>
      </c>
      <c r="X107" s="46">
        <f t="shared" si="1"/>
        <v>0.88976612903225805</v>
      </c>
      <c r="Y107" s="43">
        <f>S107*X107/1000</f>
        <v>3.9149709677419355E-2</v>
      </c>
      <c r="Z107" s="43">
        <f>W107+Y107</f>
        <v>1.3441400322580646</v>
      </c>
      <c r="AA107" s="43">
        <v>6.8</v>
      </c>
      <c r="AB107" s="43">
        <f>(V107+X107)*AA107/1000</f>
        <v>0.20773073225806452</v>
      </c>
      <c r="AC107" s="43">
        <f t="shared" si="31"/>
        <v>0.16666666666666666</v>
      </c>
      <c r="AD107" s="47">
        <v>0</v>
      </c>
      <c r="AE107" s="47">
        <v>0</v>
      </c>
      <c r="AF107" s="43">
        <f t="shared" si="50"/>
        <v>0.37439739892473117</v>
      </c>
      <c r="AG107" s="47">
        <v>0</v>
      </c>
      <c r="AH107" s="48">
        <f t="shared" si="51"/>
        <v>0.17185374311827958</v>
      </c>
      <c r="AI107" s="47">
        <v>0</v>
      </c>
      <c r="AJ107" s="49">
        <f t="shared" si="52"/>
        <v>1.8903911743010753</v>
      </c>
      <c r="AK107" s="50">
        <f t="shared" si="53"/>
        <v>9.0068615560000005</v>
      </c>
    </row>
    <row r="108" spans="1:37" ht="15" customHeight="1" thickTop="1" thickBot="1" x14ac:dyDescent="0.4">
      <c r="A108" s="35">
        <v>34</v>
      </c>
      <c r="B108" s="36">
        <v>45932</v>
      </c>
      <c r="C108" s="35" t="s">
        <v>0</v>
      </c>
      <c r="D108" s="35"/>
      <c r="E108" s="51" t="s">
        <v>97</v>
      </c>
      <c r="F108" s="35" t="s">
        <v>45</v>
      </c>
      <c r="G108" s="35"/>
      <c r="H108" s="38" t="s">
        <v>55</v>
      </c>
      <c r="I108" s="91" t="s">
        <v>53</v>
      </c>
      <c r="J108" s="35"/>
      <c r="K108" s="35" t="s">
        <v>89</v>
      </c>
      <c r="L108" s="39"/>
      <c r="M108" s="40"/>
      <c r="N108" s="41"/>
      <c r="O108" s="42" t="s">
        <v>51</v>
      </c>
      <c r="P108" s="43">
        <v>180</v>
      </c>
      <c r="Q108" s="43"/>
      <c r="R108" s="43">
        <v>0</v>
      </c>
      <c r="S108" s="44">
        <v>38.5</v>
      </c>
      <c r="T108" s="43">
        <f>ROUNDUP($T107,0)+0.75</f>
        <v>9.75</v>
      </c>
      <c r="U108" s="43">
        <f>CEILING($U107,0.5)</f>
        <v>20.5</v>
      </c>
      <c r="V108" s="43">
        <f>T108*U108*P108*1.4*2/1550</f>
        <v>64.9916129032258</v>
      </c>
      <c r="W108" s="43">
        <f t="shared" si="0"/>
        <v>2.5021770967741932</v>
      </c>
      <c r="X108" s="46">
        <f t="shared" si="1"/>
        <v>1.949748387096774</v>
      </c>
      <c r="Y108" s="43">
        <f t="shared" ref="Y108:Y109" si="81">S108*X108/1000</f>
        <v>7.5065312903225809E-2</v>
      </c>
      <c r="Z108" s="43">
        <f t="shared" ref="Z108:Z109" si="82">W108+Y108</f>
        <v>2.5772424096774191</v>
      </c>
      <c r="AA108" s="43">
        <v>6.8</v>
      </c>
      <c r="AB108" s="43">
        <f t="shared" ref="AB108:AB109" si="83">(V108+X108)*AA108/1000</f>
        <v>0.45520125677419349</v>
      </c>
      <c r="AC108" s="43">
        <f t="shared" ref="AC108:AC145" si="84">0.5/3</f>
        <v>0.16666666666666666</v>
      </c>
      <c r="AD108" s="47">
        <v>0</v>
      </c>
      <c r="AE108" s="47">
        <v>0</v>
      </c>
      <c r="AF108" s="43">
        <f t="shared" si="50"/>
        <v>0.62186792344086017</v>
      </c>
      <c r="AG108" s="47">
        <v>0</v>
      </c>
      <c r="AH108" s="48">
        <f t="shared" si="51"/>
        <v>0.31991103331182796</v>
      </c>
      <c r="AI108" s="47">
        <v>0</v>
      </c>
      <c r="AJ108" s="49">
        <f t="shared" si="52"/>
        <v>3.5190213664301071</v>
      </c>
      <c r="AK108" s="50"/>
    </row>
    <row r="109" spans="1:37" ht="15" customHeight="1" thickTop="1" thickBot="1" x14ac:dyDescent="0.4">
      <c r="A109" s="35">
        <v>34</v>
      </c>
      <c r="B109" s="36">
        <v>45932</v>
      </c>
      <c r="C109" s="35" t="s">
        <v>0</v>
      </c>
      <c r="D109" s="35"/>
      <c r="E109" s="51" t="s">
        <v>97</v>
      </c>
      <c r="F109" s="35" t="s">
        <v>45</v>
      </c>
      <c r="G109" s="35"/>
      <c r="H109" s="38" t="s">
        <v>55</v>
      </c>
      <c r="I109" s="91" t="s">
        <v>53</v>
      </c>
      <c r="J109" s="35"/>
      <c r="K109" s="35" t="s">
        <v>89</v>
      </c>
      <c r="L109" s="39"/>
      <c r="M109" s="40"/>
      <c r="N109" s="41"/>
      <c r="O109" s="42" t="s">
        <v>50</v>
      </c>
      <c r="P109" s="43">
        <v>230</v>
      </c>
      <c r="Q109" s="43"/>
      <c r="R109" s="43">
        <v>0</v>
      </c>
      <c r="S109" s="44">
        <v>44</v>
      </c>
      <c r="T109" s="43">
        <f>T108</f>
        <v>9.75</v>
      </c>
      <c r="U109" s="43">
        <f>U108</f>
        <v>20.5</v>
      </c>
      <c r="V109" s="43">
        <f>T109*U109*P109*2/1550</f>
        <v>59.317741935483873</v>
      </c>
      <c r="W109" s="43">
        <f t="shared" si="0"/>
        <v>2.6099806451612904</v>
      </c>
      <c r="X109" s="46">
        <f t="shared" si="1"/>
        <v>1.7795322580645161</v>
      </c>
      <c r="Y109" s="43">
        <f t="shared" si="81"/>
        <v>7.8299419354838709E-2</v>
      </c>
      <c r="Z109" s="43">
        <f t="shared" si="82"/>
        <v>2.6882800645161291</v>
      </c>
      <c r="AA109" s="43">
        <v>6.8</v>
      </c>
      <c r="AB109" s="43">
        <f t="shared" si="83"/>
        <v>0.41546146451612903</v>
      </c>
      <c r="AC109" s="43">
        <f t="shared" si="84"/>
        <v>0.16666666666666666</v>
      </c>
      <c r="AD109" s="47">
        <v>0</v>
      </c>
      <c r="AE109" s="47">
        <v>0</v>
      </c>
      <c r="AF109" s="43">
        <f t="shared" si="50"/>
        <v>0.58212813118279572</v>
      </c>
      <c r="AG109" s="47">
        <v>0</v>
      </c>
      <c r="AH109" s="48">
        <f t="shared" si="51"/>
        <v>0.3270408195698925</v>
      </c>
      <c r="AI109" s="47">
        <v>0</v>
      </c>
      <c r="AJ109" s="49">
        <f t="shared" si="52"/>
        <v>3.5974490152688174</v>
      </c>
      <c r="AK109" s="50"/>
    </row>
    <row r="110" spans="1:37" ht="15" customHeight="1" thickTop="1" thickBot="1" x14ac:dyDescent="0.4">
      <c r="A110" s="35">
        <v>35</v>
      </c>
      <c r="B110" s="36">
        <v>45932</v>
      </c>
      <c r="C110" s="35" t="s">
        <v>0</v>
      </c>
      <c r="D110" s="70"/>
      <c r="E110" s="70" t="s">
        <v>98</v>
      </c>
      <c r="F110" s="70" t="s">
        <v>61</v>
      </c>
      <c r="G110" s="70" t="s">
        <v>62</v>
      </c>
      <c r="H110" s="70"/>
      <c r="I110" s="70"/>
      <c r="J110" s="70"/>
      <c r="K110" s="70"/>
      <c r="L110" s="39">
        <v>100</v>
      </c>
      <c r="M110" s="40">
        <v>100</v>
      </c>
      <c r="N110" s="41">
        <v>100</v>
      </c>
      <c r="O110" s="42" t="s">
        <v>50</v>
      </c>
      <c r="P110" s="43">
        <v>230</v>
      </c>
      <c r="Q110" s="43"/>
      <c r="R110" s="43">
        <v>0</v>
      </c>
      <c r="S110" s="44"/>
      <c r="T110" s="45"/>
      <c r="U110" s="45"/>
      <c r="V110" s="43"/>
      <c r="W110" s="43"/>
      <c r="X110" s="46"/>
      <c r="Y110" s="43"/>
      <c r="Z110" s="43"/>
      <c r="AA110" s="43"/>
      <c r="AB110" s="43"/>
      <c r="AC110" s="43"/>
      <c r="AD110" s="47"/>
      <c r="AE110" s="47"/>
      <c r="AF110" s="43"/>
      <c r="AG110" s="47"/>
      <c r="AH110" s="48"/>
      <c r="AI110" s="47"/>
      <c r="AJ110" s="49"/>
      <c r="AK110" s="71"/>
    </row>
    <row r="111" spans="1:37" ht="15" customHeight="1" thickTop="1" thickBot="1" x14ac:dyDescent="0.4">
      <c r="A111" s="35">
        <v>35</v>
      </c>
      <c r="B111" s="36">
        <v>45932</v>
      </c>
      <c r="C111" s="35" t="s">
        <v>0</v>
      </c>
      <c r="D111" s="70"/>
      <c r="E111" s="70" t="s">
        <v>98</v>
      </c>
      <c r="F111" s="70" t="s">
        <v>61</v>
      </c>
      <c r="G111" s="70" t="s">
        <v>62</v>
      </c>
      <c r="H111" s="70"/>
      <c r="I111" s="70"/>
      <c r="J111" s="70"/>
      <c r="K111" s="70"/>
      <c r="L111" s="39"/>
      <c r="M111" s="40"/>
      <c r="N111" s="41"/>
      <c r="O111" s="42" t="s">
        <v>51</v>
      </c>
      <c r="P111" s="43">
        <v>150</v>
      </c>
      <c r="Q111" s="43"/>
      <c r="R111" s="43">
        <v>0</v>
      </c>
      <c r="S111" s="44"/>
      <c r="T111" s="43"/>
      <c r="U111" s="43"/>
      <c r="V111" s="43"/>
      <c r="W111" s="43"/>
      <c r="X111" s="46"/>
      <c r="Y111" s="43"/>
      <c r="Z111" s="43"/>
      <c r="AA111" s="43"/>
      <c r="AB111" s="43"/>
      <c r="AC111" s="43"/>
      <c r="AD111" s="47"/>
      <c r="AE111" s="47"/>
      <c r="AF111" s="43"/>
      <c r="AG111" s="47"/>
      <c r="AH111" s="48"/>
      <c r="AI111" s="47"/>
      <c r="AJ111" s="49"/>
      <c r="AK111" s="71"/>
    </row>
    <row r="112" spans="1:37" ht="15" customHeight="1" thickTop="1" thickBot="1" x14ac:dyDescent="0.4">
      <c r="A112" s="35">
        <v>35</v>
      </c>
      <c r="B112" s="36">
        <v>45932</v>
      </c>
      <c r="C112" s="35" t="s">
        <v>0</v>
      </c>
      <c r="D112" s="70"/>
      <c r="E112" s="70" t="s">
        <v>98</v>
      </c>
      <c r="F112" s="70" t="s">
        <v>61</v>
      </c>
      <c r="G112" s="70" t="s">
        <v>62</v>
      </c>
      <c r="H112" s="70"/>
      <c r="I112" s="70"/>
      <c r="J112" s="70"/>
      <c r="K112" s="70"/>
      <c r="L112" s="39"/>
      <c r="M112" s="40"/>
      <c r="N112" s="41"/>
      <c r="O112" s="42" t="s">
        <v>50</v>
      </c>
      <c r="P112" s="43">
        <v>180</v>
      </c>
      <c r="Q112" s="43"/>
      <c r="R112" s="43">
        <v>0</v>
      </c>
      <c r="S112" s="44"/>
      <c r="T112" s="43"/>
      <c r="U112" s="43"/>
      <c r="V112" s="43"/>
      <c r="W112" s="43"/>
      <c r="X112" s="46"/>
      <c r="Y112" s="43"/>
      <c r="Z112" s="43"/>
      <c r="AA112" s="43"/>
      <c r="AB112" s="43"/>
      <c r="AC112" s="43"/>
      <c r="AD112" s="47"/>
      <c r="AE112" s="47"/>
      <c r="AF112" s="43"/>
      <c r="AG112" s="47"/>
      <c r="AH112" s="48"/>
      <c r="AI112" s="47"/>
      <c r="AJ112" s="49"/>
      <c r="AK112" s="71"/>
    </row>
    <row r="113" spans="1:37" ht="15" customHeight="1" thickTop="1" thickBot="1" x14ac:dyDescent="0.4">
      <c r="A113" s="35">
        <v>36</v>
      </c>
      <c r="B113" s="36">
        <v>45932</v>
      </c>
      <c r="C113" s="35" t="s">
        <v>0</v>
      </c>
      <c r="D113" s="35"/>
      <c r="E113" s="51" t="s">
        <v>99</v>
      </c>
      <c r="F113" s="35" t="s">
        <v>45</v>
      </c>
      <c r="G113" s="35"/>
      <c r="H113" s="38" t="s">
        <v>55</v>
      </c>
      <c r="I113" s="35" t="s">
        <v>91</v>
      </c>
      <c r="J113" s="35"/>
      <c r="K113" s="35" t="s">
        <v>89</v>
      </c>
      <c r="L113" s="39">
        <v>100</v>
      </c>
      <c r="M113" s="40">
        <v>100</v>
      </c>
      <c r="N113" s="41">
        <v>100</v>
      </c>
      <c r="O113" s="42" t="s">
        <v>50</v>
      </c>
      <c r="P113" s="43">
        <v>230</v>
      </c>
      <c r="Q113" s="43"/>
      <c r="R113" s="43">
        <v>0</v>
      </c>
      <c r="S113" s="44">
        <v>44</v>
      </c>
      <c r="T113" s="45">
        <f>((M113+N113+20)+(M113*70%+20))/25.4</f>
        <v>12.20472440944882</v>
      </c>
      <c r="U113" s="45">
        <f>(((L113+M113)*2+55)+55)/25.4</f>
        <v>20.078740157480315</v>
      </c>
      <c r="V113" s="43">
        <f>T114*U114*P113/1550</f>
        <v>41.826612903225808</v>
      </c>
      <c r="W113" s="43">
        <f t="shared" si="0"/>
        <v>1.8403709677419355</v>
      </c>
      <c r="X113" s="46">
        <f t="shared" si="1"/>
        <v>1.2547983870967743</v>
      </c>
      <c r="Y113" s="43">
        <f>S113*X113/1000</f>
        <v>5.5211129032258069E-2</v>
      </c>
      <c r="Z113" s="43">
        <f>W113+Y113</f>
        <v>1.8955820967741936</v>
      </c>
      <c r="AA113" s="43">
        <v>6.8</v>
      </c>
      <c r="AB113" s="43">
        <f>(V113+X113)*AA113/1000</f>
        <v>0.29295359677419358</v>
      </c>
      <c r="AC113" s="43">
        <f t="shared" si="84"/>
        <v>0.16666666666666666</v>
      </c>
      <c r="AD113" s="47">
        <v>0</v>
      </c>
      <c r="AE113" s="47">
        <v>0</v>
      </c>
      <c r="AF113" s="43">
        <f t="shared" si="50"/>
        <v>0.45962026344086027</v>
      </c>
      <c r="AG113" s="47">
        <v>0</v>
      </c>
      <c r="AH113" s="48">
        <f t="shared" si="51"/>
        <v>0.2355202360215054</v>
      </c>
      <c r="AI113" s="47">
        <v>0</v>
      </c>
      <c r="AJ113" s="49">
        <f t="shared" si="52"/>
        <v>2.5907225962365592</v>
      </c>
      <c r="AK113" s="50">
        <f t="shared" si="53"/>
        <v>10.645622997580645</v>
      </c>
    </row>
    <row r="114" spans="1:37" ht="15" customHeight="1" thickTop="1" thickBot="1" x14ac:dyDescent="0.4">
      <c r="A114" s="35">
        <v>36</v>
      </c>
      <c r="B114" s="36">
        <v>45932</v>
      </c>
      <c r="C114" s="35" t="s">
        <v>0</v>
      </c>
      <c r="D114" s="35"/>
      <c r="E114" s="51" t="s">
        <v>99</v>
      </c>
      <c r="F114" s="35" t="s">
        <v>45</v>
      </c>
      <c r="G114" s="35"/>
      <c r="H114" s="38" t="s">
        <v>55</v>
      </c>
      <c r="I114" s="35" t="s">
        <v>91</v>
      </c>
      <c r="J114" s="35"/>
      <c r="K114" s="35" t="s">
        <v>89</v>
      </c>
      <c r="L114" s="39"/>
      <c r="M114" s="40"/>
      <c r="N114" s="41"/>
      <c r="O114" s="42" t="s">
        <v>51</v>
      </c>
      <c r="P114" s="43">
        <v>150</v>
      </c>
      <c r="Q114" s="43"/>
      <c r="R114" s="43">
        <v>0</v>
      </c>
      <c r="S114" s="44">
        <v>38.5</v>
      </c>
      <c r="T114" s="43">
        <f>ROUNDUP($T113,0)+0.75</f>
        <v>13.75</v>
      </c>
      <c r="U114" s="43">
        <f>CEILING($U113,0.5)</f>
        <v>20.5</v>
      </c>
      <c r="V114" s="43">
        <f>T114*U114*(P114*1.4)*2/1550</f>
        <v>76.379032258064512</v>
      </c>
      <c r="W114" s="43">
        <f t="shared" si="0"/>
        <v>2.9405927419354838</v>
      </c>
      <c r="X114" s="46">
        <f t="shared" si="1"/>
        <v>2.2913709677419352</v>
      </c>
      <c r="Y114" s="43">
        <f t="shared" ref="Y114:Y115" si="85">S114*X114/1000</f>
        <v>8.8217782258064509E-2</v>
      </c>
      <c r="Z114" s="43">
        <f t="shared" ref="Z114:Z115" si="86">W114+Y114</f>
        <v>3.0288105241935481</v>
      </c>
      <c r="AA114" s="43">
        <v>6.8</v>
      </c>
      <c r="AB114" s="43">
        <f t="shared" ref="AB114:AB115" si="87">(V114+X114)*AA114/1000</f>
        <v>0.53495874193548387</v>
      </c>
      <c r="AC114" s="43">
        <f t="shared" si="84"/>
        <v>0.16666666666666666</v>
      </c>
      <c r="AD114" s="47">
        <v>0</v>
      </c>
      <c r="AE114" s="47">
        <v>0</v>
      </c>
      <c r="AF114" s="43">
        <f t="shared" si="50"/>
        <v>0.7016254086021505</v>
      </c>
      <c r="AG114" s="47">
        <v>0</v>
      </c>
      <c r="AH114" s="48">
        <f t="shared" si="51"/>
        <v>0.37304359327956987</v>
      </c>
      <c r="AI114" s="47">
        <v>0</v>
      </c>
      <c r="AJ114" s="49">
        <f t="shared" si="52"/>
        <v>4.1034795260752679</v>
      </c>
      <c r="AK114" s="50"/>
    </row>
    <row r="115" spans="1:37" ht="15" customHeight="1" thickTop="1" thickBot="1" x14ac:dyDescent="0.4">
      <c r="A115" s="35">
        <v>36</v>
      </c>
      <c r="B115" s="36">
        <v>45932</v>
      </c>
      <c r="C115" s="35" t="s">
        <v>0</v>
      </c>
      <c r="D115" s="35"/>
      <c r="E115" s="51" t="s">
        <v>99</v>
      </c>
      <c r="F115" s="35" t="s">
        <v>45</v>
      </c>
      <c r="G115" s="35"/>
      <c r="H115" s="38" t="s">
        <v>55</v>
      </c>
      <c r="I115" s="35" t="s">
        <v>91</v>
      </c>
      <c r="J115" s="35"/>
      <c r="K115" s="35" t="s">
        <v>89</v>
      </c>
      <c r="L115" s="39"/>
      <c r="M115" s="40"/>
      <c r="N115" s="41"/>
      <c r="O115" s="42" t="s">
        <v>50</v>
      </c>
      <c r="P115" s="43">
        <v>180</v>
      </c>
      <c r="Q115" s="43"/>
      <c r="R115" s="43">
        <v>0</v>
      </c>
      <c r="S115" s="44">
        <v>44</v>
      </c>
      <c r="T115" s="43">
        <f>T114</f>
        <v>13.75</v>
      </c>
      <c r="U115" s="43">
        <f>U114</f>
        <v>20.5</v>
      </c>
      <c r="V115" s="43">
        <f>T115*U115*P115*2/1550</f>
        <v>65.467741935483872</v>
      </c>
      <c r="W115" s="43">
        <f t="shared" si="0"/>
        <v>2.8805806451612903</v>
      </c>
      <c r="X115" s="46">
        <f t="shared" si="1"/>
        <v>1.964032258064516</v>
      </c>
      <c r="Y115" s="43">
        <f t="shared" si="85"/>
        <v>8.6417419354838695E-2</v>
      </c>
      <c r="Z115" s="43">
        <f t="shared" si="86"/>
        <v>2.9669980645161291</v>
      </c>
      <c r="AA115" s="43">
        <v>6.8</v>
      </c>
      <c r="AB115" s="43">
        <f t="shared" si="87"/>
        <v>0.45853606451612905</v>
      </c>
      <c r="AC115" s="43">
        <f t="shared" si="84"/>
        <v>0.16666666666666666</v>
      </c>
      <c r="AD115" s="47">
        <v>0</v>
      </c>
      <c r="AE115" s="47">
        <v>0</v>
      </c>
      <c r="AF115" s="43">
        <f t="shared" si="50"/>
        <v>0.62520273118279568</v>
      </c>
      <c r="AG115" s="47">
        <v>0</v>
      </c>
      <c r="AH115" s="48">
        <f t="shared" si="51"/>
        <v>0.35922007956989249</v>
      </c>
      <c r="AI115" s="47">
        <v>0</v>
      </c>
      <c r="AJ115" s="49">
        <f t="shared" si="52"/>
        <v>3.9514208752688171</v>
      </c>
      <c r="AK115" s="50"/>
    </row>
    <row r="116" spans="1:37" ht="15" customHeight="1" thickTop="1" thickBot="1" x14ac:dyDescent="0.4">
      <c r="A116" s="35">
        <v>37</v>
      </c>
      <c r="B116" s="36">
        <v>45932</v>
      </c>
      <c r="C116" s="35" t="s">
        <v>0</v>
      </c>
      <c r="D116" s="35"/>
      <c r="E116" s="37" t="s">
        <v>100</v>
      </c>
      <c r="F116" s="35" t="s">
        <v>45</v>
      </c>
      <c r="G116" s="35"/>
      <c r="H116" s="38" t="s">
        <v>46</v>
      </c>
      <c r="I116" s="35" t="s">
        <v>101</v>
      </c>
      <c r="J116" s="38" t="s">
        <v>48</v>
      </c>
      <c r="K116" s="38" t="s">
        <v>49</v>
      </c>
      <c r="L116" s="39">
        <v>100</v>
      </c>
      <c r="M116" s="40">
        <v>100</v>
      </c>
      <c r="N116" s="41">
        <v>100</v>
      </c>
      <c r="O116" s="42" t="s">
        <v>50</v>
      </c>
      <c r="P116" s="43">
        <v>230</v>
      </c>
      <c r="Q116" s="43"/>
      <c r="R116" s="43">
        <v>0</v>
      </c>
      <c r="S116" s="44">
        <v>44</v>
      </c>
      <c r="T116" s="45">
        <f>(M116+M116+N116+10)/25.4</f>
        <v>12.20472440944882</v>
      </c>
      <c r="U116" s="45">
        <f>((L116+M116+L116+M116+55)/25.4)</f>
        <v>17.913385826771655</v>
      </c>
      <c r="V116" s="43">
        <f>T117*U117*P116/1550</f>
        <v>36.725806451612904</v>
      </c>
      <c r="W116" s="43">
        <f t="shared" ref="W116:W147" si="88">S116*V116/1000</f>
        <v>1.6159354838709679</v>
      </c>
      <c r="X116" s="46">
        <f t="shared" ref="X116:X147" si="89">V116*3%</f>
        <v>1.1017741935483871</v>
      </c>
      <c r="Y116" s="43">
        <f>S116*X116/1000</f>
        <v>4.847806451612903E-2</v>
      </c>
      <c r="Z116" s="43">
        <f>W116+Y116</f>
        <v>1.664413548387097</v>
      </c>
      <c r="AA116" s="43">
        <v>6.8</v>
      </c>
      <c r="AB116" s="43">
        <f>(V116+X116)*AA116/1000</f>
        <v>0.25722754838709677</v>
      </c>
      <c r="AC116" s="43">
        <f t="shared" si="84"/>
        <v>0.16666666666666666</v>
      </c>
      <c r="AD116" s="47">
        <v>0</v>
      </c>
      <c r="AE116" s="47">
        <v>0</v>
      </c>
      <c r="AF116" s="43">
        <f t="shared" si="50"/>
        <v>0.42389421505376346</v>
      </c>
      <c r="AG116" s="47">
        <v>0</v>
      </c>
      <c r="AH116" s="48">
        <f t="shared" si="51"/>
        <v>0.20883077634408603</v>
      </c>
      <c r="AI116" s="47">
        <v>0</v>
      </c>
      <c r="AJ116" s="49">
        <f t="shared" si="52"/>
        <v>2.2971385397849464</v>
      </c>
      <c r="AK116" s="50">
        <f t="shared" si="53"/>
        <v>6.0391273338709679</v>
      </c>
    </row>
    <row r="117" spans="1:37" ht="15" customHeight="1" thickTop="1" thickBot="1" x14ac:dyDescent="0.4">
      <c r="A117" s="35">
        <v>37</v>
      </c>
      <c r="B117" s="36">
        <v>45932</v>
      </c>
      <c r="C117" s="35" t="s">
        <v>0</v>
      </c>
      <c r="D117" s="35"/>
      <c r="E117" s="37" t="s">
        <v>100</v>
      </c>
      <c r="F117" s="35" t="s">
        <v>45</v>
      </c>
      <c r="G117" s="35"/>
      <c r="H117" s="38" t="s">
        <v>46</v>
      </c>
      <c r="I117" s="35" t="s">
        <v>101</v>
      </c>
      <c r="J117" s="38" t="s">
        <v>48</v>
      </c>
      <c r="K117" s="38" t="s">
        <v>49</v>
      </c>
      <c r="L117" s="39"/>
      <c r="M117" s="40"/>
      <c r="N117" s="41"/>
      <c r="O117" s="42" t="s">
        <v>51</v>
      </c>
      <c r="P117" s="43">
        <v>150</v>
      </c>
      <c r="Q117" s="43"/>
      <c r="R117" s="43">
        <v>0</v>
      </c>
      <c r="S117" s="44">
        <v>38.5</v>
      </c>
      <c r="T117" s="43">
        <f>ROUNDUP($T116,0)+0.75</f>
        <v>13.75</v>
      </c>
      <c r="U117" s="43">
        <f>CEILING($U116,0.5)</f>
        <v>18</v>
      </c>
      <c r="V117" s="43">
        <f>T117*U117*(P117*1.4)/1550</f>
        <v>33.532258064516128</v>
      </c>
      <c r="W117" s="43">
        <f t="shared" si="88"/>
        <v>1.290991935483871</v>
      </c>
      <c r="X117" s="46">
        <f t="shared" si="89"/>
        <v>1.0059677419354838</v>
      </c>
      <c r="Y117" s="43">
        <f t="shared" ref="Y117:Y118" si="90">S117*X117/1000</f>
        <v>3.8729758064516125E-2</v>
      </c>
      <c r="Z117" s="43">
        <f t="shared" ref="Z117:Z118" si="91">W117+Y117</f>
        <v>1.3297216935483871</v>
      </c>
      <c r="AA117" s="43">
        <v>6.8</v>
      </c>
      <c r="AB117" s="43">
        <f t="shared" ref="AB117:AB118" si="92">(V117+X117)*AA117/1000</f>
        <v>0.23485993548387096</v>
      </c>
      <c r="AC117" s="43">
        <f t="shared" si="84"/>
        <v>0.16666666666666666</v>
      </c>
      <c r="AD117" s="47">
        <v>0</v>
      </c>
      <c r="AE117" s="47">
        <v>0</v>
      </c>
      <c r="AF117" s="43">
        <f t="shared" si="50"/>
        <v>0.40152660215053759</v>
      </c>
      <c r="AG117" s="47">
        <v>0</v>
      </c>
      <c r="AH117" s="48">
        <f t="shared" si="51"/>
        <v>0.1731248295698925</v>
      </c>
      <c r="AI117" s="47">
        <v>0</v>
      </c>
      <c r="AJ117" s="49">
        <f t="shared" si="52"/>
        <v>1.9043731252688172</v>
      </c>
      <c r="AK117" s="50"/>
    </row>
    <row r="118" spans="1:37" ht="15" customHeight="1" thickTop="1" thickBot="1" x14ac:dyDescent="0.4">
      <c r="A118" s="35">
        <v>37</v>
      </c>
      <c r="B118" s="36">
        <v>45932</v>
      </c>
      <c r="C118" s="35" t="s">
        <v>0</v>
      </c>
      <c r="D118" s="35"/>
      <c r="E118" s="37" t="s">
        <v>100</v>
      </c>
      <c r="F118" s="35" t="s">
        <v>45</v>
      </c>
      <c r="G118" s="35"/>
      <c r="H118" s="38" t="s">
        <v>46</v>
      </c>
      <c r="I118" s="35" t="s">
        <v>101</v>
      </c>
      <c r="J118" s="38" t="s">
        <v>48</v>
      </c>
      <c r="K118" s="38" t="s">
        <v>49</v>
      </c>
      <c r="L118" s="39"/>
      <c r="M118" s="40"/>
      <c r="N118" s="41"/>
      <c r="O118" s="42" t="s">
        <v>50</v>
      </c>
      <c r="P118" s="43">
        <v>180</v>
      </c>
      <c r="Q118" s="43"/>
      <c r="R118" s="43">
        <v>0</v>
      </c>
      <c r="S118" s="44">
        <v>44</v>
      </c>
      <c r="T118" s="43">
        <f>T117</f>
        <v>13.75</v>
      </c>
      <c r="U118" s="43">
        <f>U117</f>
        <v>18</v>
      </c>
      <c r="V118" s="43">
        <f>T118*U118*P118/1550</f>
        <v>28.741935483870968</v>
      </c>
      <c r="W118" s="43">
        <f t="shared" si="88"/>
        <v>1.2646451612903227</v>
      </c>
      <c r="X118" s="46">
        <f t="shared" si="89"/>
        <v>0.86225806451612896</v>
      </c>
      <c r="Y118" s="43">
        <f t="shared" si="90"/>
        <v>3.7939354838709673E-2</v>
      </c>
      <c r="Z118" s="43">
        <f t="shared" si="91"/>
        <v>1.3025845161290324</v>
      </c>
      <c r="AA118" s="43">
        <v>6.8</v>
      </c>
      <c r="AB118" s="43">
        <f t="shared" si="92"/>
        <v>0.20130851612903225</v>
      </c>
      <c r="AC118" s="43">
        <f t="shared" si="84"/>
        <v>0.16666666666666666</v>
      </c>
      <c r="AD118" s="47">
        <v>0</v>
      </c>
      <c r="AE118" s="47">
        <v>0</v>
      </c>
      <c r="AF118" s="43">
        <f t="shared" si="50"/>
        <v>0.36797518279569891</v>
      </c>
      <c r="AG118" s="47">
        <v>0</v>
      </c>
      <c r="AH118" s="48">
        <f t="shared" si="51"/>
        <v>0.16705596989247315</v>
      </c>
      <c r="AI118" s="47">
        <v>0</v>
      </c>
      <c r="AJ118" s="49">
        <f t="shared" si="52"/>
        <v>1.8376156688172045</v>
      </c>
      <c r="AK118" s="50"/>
    </row>
    <row r="119" spans="1:37" ht="15" customHeight="1" thickTop="1" thickBot="1" x14ac:dyDescent="0.4">
      <c r="A119" s="35">
        <v>38</v>
      </c>
      <c r="B119" s="36">
        <v>45932</v>
      </c>
      <c r="C119" s="35" t="s">
        <v>0</v>
      </c>
      <c r="D119" s="35"/>
      <c r="E119" s="37" t="s">
        <v>102</v>
      </c>
      <c r="F119" s="35" t="s">
        <v>45</v>
      </c>
      <c r="G119" s="35"/>
      <c r="H119" s="38" t="s">
        <v>55</v>
      </c>
      <c r="I119" s="35" t="s">
        <v>101</v>
      </c>
      <c r="J119" s="38" t="s">
        <v>48</v>
      </c>
      <c r="K119" s="38" t="s">
        <v>49</v>
      </c>
      <c r="L119" s="39">
        <v>100</v>
      </c>
      <c r="M119" s="40">
        <v>100</v>
      </c>
      <c r="N119" s="41">
        <v>100</v>
      </c>
      <c r="O119" s="42" t="s">
        <v>50</v>
      </c>
      <c r="P119" s="43">
        <v>230</v>
      </c>
      <c r="Q119" s="43"/>
      <c r="R119" s="43">
        <v>0</v>
      </c>
      <c r="S119" s="44">
        <v>44</v>
      </c>
      <c r="T119" s="45">
        <f>(M119+M119+N119+10)/25.4</f>
        <v>12.20472440944882</v>
      </c>
      <c r="U119" s="45">
        <f>((L119+M119+L119+M119+55)/25.4)</f>
        <v>17.913385826771655</v>
      </c>
      <c r="V119" s="43">
        <f>T120*U120*P119/1550</f>
        <v>36.725806451612904</v>
      </c>
      <c r="W119" s="43">
        <f t="shared" si="88"/>
        <v>1.6159354838709679</v>
      </c>
      <c r="X119" s="46">
        <f t="shared" si="89"/>
        <v>1.1017741935483871</v>
      </c>
      <c r="Y119" s="43">
        <f>S119*X119/1000</f>
        <v>4.847806451612903E-2</v>
      </c>
      <c r="Z119" s="43">
        <f>W119+Y119</f>
        <v>1.664413548387097</v>
      </c>
      <c r="AA119" s="43">
        <v>6.8</v>
      </c>
      <c r="AB119" s="43">
        <f>(V119+X119)*AA119/1000</f>
        <v>0.25722754838709677</v>
      </c>
      <c r="AC119" s="43">
        <f t="shared" si="84"/>
        <v>0.16666666666666666</v>
      </c>
      <c r="AD119" s="47">
        <v>0</v>
      </c>
      <c r="AE119" s="47">
        <v>0</v>
      </c>
      <c r="AF119" s="43">
        <f t="shared" si="50"/>
        <v>0.42389421505376346</v>
      </c>
      <c r="AG119" s="47">
        <v>0</v>
      </c>
      <c r="AH119" s="48">
        <f t="shared" si="51"/>
        <v>0.20883077634408603</v>
      </c>
      <c r="AI119" s="47">
        <v>0</v>
      </c>
      <c r="AJ119" s="49">
        <f t="shared" si="52"/>
        <v>2.2971385397849464</v>
      </c>
      <c r="AK119" s="50">
        <f t="shared" si="53"/>
        <v>9.4144494612903227</v>
      </c>
    </row>
    <row r="120" spans="1:37" ht="15" customHeight="1" thickTop="1" thickBot="1" x14ac:dyDescent="0.4">
      <c r="A120" s="35">
        <v>38</v>
      </c>
      <c r="B120" s="36">
        <v>45932</v>
      </c>
      <c r="C120" s="35" t="s">
        <v>0</v>
      </c>
      <c r="D120" s="35"/>
      <c r="E120" s="37" t="s">
        <v>102</v>
      </c>
      <c r="F120" s="35" t="s">
        <v>45</v>
      </c>
      <c r="G120" s="35"/>
      <c r="H120" s="38" t="s">
        <v>55</v>
      </c>
      <c r="I120" s="35" t="s">
        <v>101</v>
      </c>
      <c r="J120" s="38" t="s">
        <v>48</v>
      </c>
      <c r="K120" s="38" t="s">
        <v>49</v>
      </c>
      <c r="L120" s="39"/>
      <c r="M120" s="40"/>
      <c r="N120" s="41"/>
      <c r="O120" s="42" t="s">
        <v>51</v>
      </c>
      <c r="P120" s="43">
        <v>150</v>
      </c>
      <c r="Q120" s="43"/>
      <c r="R120" s="43">
        <v>0</v>
      </c>
      <c r="S120" s="44">
        <v>38.5</v>
      </c>
      <c r="T120" s="43">
        <f>ROUNDUP($T119,0)+0.75</f>
        <v>13.75</v>
      </c>
      <c r="U120" s="43">
        <f>CEILING($U119,0.5)</f>
        <v>18</v>
      </c>
      <c r="V120" s="43">
        <f>T120*U120*(P120*1.4)*2/1550</f>
        <v>67.064516129032256</v>
      </c>
      <c r="W120" s="43">
        <f t="shared" si="88"/>
        <v>2.5819838709677421</v>
      </c>
      <c r="X120" s="46">
        <f t="shared" si="89"/>
        <v>2.0119354838709675</v>
      </c>
      <c r="Y120" s="43">
        <f t="shared" ref="Y120:Y121" si="93">S120*X120/1000</f>
        <v>7.7459516129032249E-2</v>
      </c>
      <c r="Z120" s="43">
        <f t="shared" ref="Z120:Z121" si="94">W120+Y120</f>
        <v>2.6594433870967742</v>
      </c>
      <c r="AA120" s="43">
        <v>6.8</v>
      </c>
      <c r="AB120" s="43">
        <f t="shared" ref="AB120:AB121" si="95">(V120+X120)*AA120/1000</f>
        <v>0.46971987096774193</v>
      </c>
      <c r="AC120" s="43">
        <f t="shared" si="84"/>
        <v>0.16666666666666666</v>
      </c>
      <c r="AD120" s="47">
        <v>0</v>
      </c>
      <c r="AE120" s="47">
        <v>0</v>
      </c>
      <c r="AF120" s="43">
        <f t="shared" si="50"/>
        <v>0.63638653763440856</v>
      </c>
      <c r="AG120" s="47">
        <v>0</v>
      </c>
      <c r="AH120" s="48">
        <f t="shared" si="51"/>
        <v>0.32958299247311829</v>
      </c>
      <c r="AI120" s="47">
        <v>0</v>
      </c>
      <c r="AJ120" s="49">
        <f t="shared" si="52"/>
        <v>3.6254129172043008</v>
      </c>
      <c r="AK120" s="50"/>
    </row>
    <row r="121" spans="1:37" ht="15" customHeight="1" thickTop="1" thickBot="1" x14ac:dyDescent="0.4">
      <c r="A121" s="35">
        <v>38</v>
      </c>
      <c r="B121" s="36">
        <v>45932</v>
      </c>
      <c r="C121" s="35" t="s">
        <v>0</v>
      </c>
      <c r="D121" s="35"/>
      <c r="E121" s="37" t="s">
        <v>102</v>
      </c>
      <c r="F121" s="35" t="s">
        <v>45</v>
      </c>
      <c r="G121" s="35"/>
      <c r="H121" s="38" t="s">
        <v>55</v>
      </c>
      <c r="I121" s="35" t="s">
        <v>101</v>
      </c>
      <c r="J121" s="38" t="s">
        <v>48</v>
      </c>
      <c r="K121" s="38" t="s">
        <v>49</v>
      </c>
      <c r="L121" s="39"/>
      <c r="M121" s="40"/>
      <c r="N121" s="41"/>
      <c r="O121" s="42" t="s">
        <v>50</v>
      </c>
      <c r="P121" s="43">
        <v>180</v>
      </c>
      <c r="Q121" s="43"/>
      <c r="R121" s="43">
        <v>0</v>
      </c>
      <c r="S121" s="44">
        <v>44</v>
      </c>
      <c r="T121" s="43">
        <f>T120</f>
        <v>13.75</v>
      </c>
      <c r="U121" s="43">
        <f>U120</f>
        <v>18</v>
      </c>
      <c r="V121" s="43">
        <f>T121*U121*P121*2/1550</f>
        <v>57.483870967741936</v>
      </c>
      <c r="W121" s="43">
        <f t="shared" si="88"/>
        <v>2.5292903225806453</v>
      </c>
      <c r="X121" s="46">
        <f t="shared" si="89"/>
        <v>1.7245161290322579</v>
      </c>
      <c r="Y121" s="43">
        <f t="shared" si="93"/>
        <v>7.5878709677419345E-2</v>
      </c>
      <c r="Z121" s="43">
        <f t="shared" si="94"/>
        <v>2.6051690322580647</v>
      </c>
      <c r="AA121" s="43">
        <v>6.8</v>
      </c>
      <c r="AB121" s="43">
        <f t="shared" si="95"/>
        <v>0.4026170322580645</v>
      </c>
      <c r="AC121" s="43">
        <f t="shared" si="84"/>
        <v>0.16666666666666666</v>
      </c>
      <c r="AD121" s="47">
        <v>0</v>
      </c>
      <c r="AE121" s="47">
        <v>0</v>
      </c>
      <c r="AF121" s="43">
        <f t="shared" si="50"/>
        <v>0.56928369892473119</v>
      </c>
      <c r="AG121" s="47">
        <v>0</v>
      </c>
      <c r="AH121" s="48">
        <f t="shared" si="51"/>
        <v>0.31744527311827958</v>
      </c>
      <c r="AI121" s="47">
        <v>0</v>
      </c>
      <c r="AJ121" s="49">
        <f t="shared" si="52"/>
        <v>3.4918980043010754</v>
      </c>
      <c r="AK121" s="50"/>
    </row>
    <row r="122" spans="1:37" ht="15" customHeight="1" thickTop="1" thickBot="1" x14ac:dyDescent="0.4">
      <c r="A122" s="35">
        <v>39</v>
      </c>
      <c r="B122" s="36">
        <v>45932</v>
      </c>
      <c r="C122" s="35" t="s">
        <v>0</v>
      </c>
      <c r="D122" s="35"/>
      <c r="E122" s="37" t="s">
        <v>103</v>
      </c>
      <c r="F122" s="35" t="s">
        <v>45</v>
      </c>
      <c r="G122" s="35"/>
      <c r="H122" s="38" t="s">
        <v>46</v>
      </c>
      <c r="I122" s="35" t="s">
        <v>101</v>
      </c>
      <c r="J122" s="38" t="s">
        <v>57</v>
      </c>
      <c r="K122" s="38" t="s">
        <v>49</v>
      </c>
      <c r="L122" s="39">
        <v>100</v>
      </c>
      <c r="M122" s="40">
        <v>100</v>
      </c>
      <c r="N122" s="41">
        <v>100</v>
      </c>
      <c r="O122" s="42" t="s">
        <v>50</v>
      </c>
      <c r="P122" s="43">
        <v>230</v>
      </c>
      <c r="Q122" s="43"/>
      <c r="R122" s="43">
        <v>0</v>
      </c>
      <c r="S122" s="44">
        <v>44</v>
      </c>
      <c r="T122" s="45">
        <f>(M122+M122+N122+10)/25.4</f>
        <v>12.20472440944882</v>
      </c>
      <c r="U122" s="45">
        <f>((L122+M122+L122+M122+55+55)/25.4)</f>
        <v>20.078740157480315</v>
      </c>
      <c r="V122" s="43">
        <f>T123*U123*P122/1550</f>
        <v>41.826612903225808</v>
      </c>
      <c r="W122" s="43">
        <f t="shared" si="88"/>
        <v>1.8403709677419355</v>
      </c>
      <c r="X122" s="46">
        <f t="shared" si="89"/>
        <v>1.2547983870967743</v>
      </c>
      <c r="Y122" s="43">
        <f>S122*X122/1000</f>
        <v>5.5211129032258069E-2</v>
      </c>
      <c r="Z122" s="43">
        <f>W122+Y122</f>
        <v>1.8955820967741936</v>
      </c>
      <c r="AA122" s="43">
        <v>6.8</v>
      </c>
      <c r="AB122" s="43">
        <f>(V122+X122)*AA122/1000</f>
        <v>0.29295359677419358</v>
      </c>
      <c r="AC122" s="43">
        <f t="shared" si="84"/>
        <v>0.16666666666666666</v>
      </c>
      <c r="AD122" s="47">
        <v>0</v>
      </c>
      <c r="AE122" s="47">
        <v>0</v>
      </c>
      <c r="AF122" s="43">
        <f t="shared" si="50"/>
        <v>0.45962026344086027</v>
      </c>
      <c r="AG122" s="47">
        <v>0</v>
      </c>
      <c r="AH122" s="48">
        <f t="shared" si="51"/>
        <v>0.2355202360215054</v>
      </c>
      <c r="AI122" s="47">
        <v>0</v>
      </c>
      <c r="AJ122" s="49">
        <f t="shared" si="52"/>
        <v>2.5907225962365592</v>
      </c>
      <c r="AK122" s="50">
        <f t="shared" si="53"/>
        <v>6.8015061302419362</v>
      </c>
    </row>
    <row r="123" spans="1:37" ht="15" customHeight="1" thickTop="1" thickBot="1" x14ac:dyDescent="0.4">
      <c r="A123" s="35">
        <v>39</v>
      </c>
      <c r="B123" s="36">
        <v>45932</v>
      </c>
      <c r="C123" s="35" t="s">
        <v>0</v>
      </c>
      <c r="D123" s="35"/>
      <c r="E123" s="37" t="s">
        <v>103</v>
      </c>
      <c r="F123" s="35" t="s">
        <v>45</v>
      </c>
      <c r="G123" s="35"/>
      <c r="H123" s="38" t="s">
        <v>46</v>
      </c>
      <c r="I123" s="35" t="s">
        <v>101</v>
      </c>
      <c r="J123" s="38" t="s">
        <v>57</v>
      </c>
      <c r="K123" s="38" t="s">
        <v>49</v>
      </c>
      <c r="L123" s="39"/>
      <c r="M123" s="40"/>
      <c r="N123" s="41"/>
      <c r="O123" s="42" t="s">
        <v>51</v>
      </c>
      <c r="P123" s="43">
        <v>150</v>
      </c>
      <c r="Q123" s="43"/>
      <c r="R123" s="43">
        <v>0</v>
      </c>
      <c r="S123" s="44">
        <v>38.5</v>
      </c>
      <c r="T123" s="43">
        <f>ROUNDUP($T122,0)+0.75</f>
        <v>13.75</v>
      </c>
      <c r="U123" s="43">
        <f>CEILING($U122,0.5)</f>
        <v>20.5</v>
      </c>
      <c r="V123" s="43">
        <f>T123*U123*(P123*1.4)/1550</f>
        <v>38.189516129032256</v>
      </c>
      <c r="W123" s="43">
        <f t="shared" si="88"/>
        <v>1.4702963709677419</v>
      </c>
      <c r="X123" s="46">
        <f t="shared" si="89"/>
        <v>1.1456854838709676</v>
      </c>
      <c r="Y123" s="43">
        <f t="shared" ref="Y123:Y124" si="96">S123*X123/1000</f>
        <v>4.4108891129032254E-2</v>
      </c>
      <c r="Z123" s="43">
        <f t="shared" ref="Z123:Z124" si="97">W123+Y123</f>
        <v>1.5144052620967741</v>
      </c>
      <c r="AA123" s="43">
        <v>6.8</v>
      </c>
      <c r="AB123" s="43">
        <f t="shared" ref="AB123:AB124" si="98">(V123+X123)*AA123/1000</f>
        <v>0.26747937096774194</v>
      </c>
      <c r="AC123" s="43">
        <f t="shared" si="84"/>
        <v>0.16666666666666666</v>
      </c>
      <c r="AD123" s="47">
        <v>0</v>
      </c>
      <c r="AE123" s="47">
        <v>0</v>
      </c>
      <c r="AF123" s="43">
        <f t="shared" si="50"/>
        <v>0.43414603763440862</v>
      </c>
      <c r="AG123" s="47">
        <v>0</v>
      </c>
      <c r="AH123" s="48">
        <f t="shared" si="51"/>
        <v>0.19485512997311827</v>
      </c>
      <c r="AI123" s="47">
        <v>0</v>
      </c>
      <c r="AJ123" s="49">
        <f t="shared" si="52"/>
        <v>2.1434064297043012</v>
      </c>
      <c r="AK123" s="50"/>
    </row>
    <row r="124" spans="1:37" ht="15" customHeight="1" thickTop="1" thickBot="1" x14ac:dyDescent="0.4">
      <c r="A124" s="35">
        <v>39</v>
      </c>
      <c r="B124" s="36">
        <v>45932</v>
      </c>
      <c r="C124" s="35" t="s">
        <v>0</v>
      </c>
      <c r="D124" s="35"/>
      <c r="E124" s="37" t="s">
        <v>103</v>
      </c>
      <c r="F124" s="35" t="s">
        <v>45</v>
      </c>
      <c r="G124" s="35"/>
      <c r="H124" s="38" t="s">
        <v>46</v>
      </c>
      <c r="I124" s="35" t="s">
        <v>101</v>
      </c>
      <c r="J124" s="38" t="s">
        <v>57</v>
      </c>
      <c r="K124" s="38" t="s">
        <v>49</v>
      </c>
      <c r="L124" s="39"/>
      <c r="M124" s="40"/>
      <c r="N124" s="41"/>
      <c r="O124" s="42" t="s">
        <v>50</v>
      </c>
      <c r="P124" s="43">
        <v>180</v>
      </c>
      <c r="Q124" s="43"/>
      <c r="R124" s="43">
        <v>0</v>
      </c>
      <c r="S124" s="44">
        <v>44</v>
      </c>
      <c r="T124" s="43">
        <f>T123</f>
        <v>13.75</v>
      </c>
      <c r="U124" s="43">
        <f>U123</f>
        <v>20.5</v>
      </c>
      <c r="V124" s="43">
        <f>T124*U124*P124/1550</f>
        <v>32.733870967741936</v>
      </c>
      <c r="W124" s="43">
        <f t="shared" si="88"/>
        <v>1.4402903225806452</v>
      </c>
      <c r="X124" s="46">
        <f t="shared" si="89"/>
        <v>0.98201612903225799</v>
      </c>
      <c r="Y124" s="43">
        <f t="shared" si="96"/>
        <v>4.3208709677419348E-2</v>
      </c>
      <c r="Z124" s="43">
        <f t="shared" si="97"/>
        <v>1.4834990322580646</v>
      </c>
      <c r="AA124" s="43">
        <v>6.8</v>
      </c>
      <c r="AB124" s="43">
        <f t="shared" si="98"/>
        <v>0.22926803225806452</v>
      </c>
      <c r="AC124" s="43">
        <f t="shared" si="84"/>
        <v>0.16666666666666666</v>
      </c>
      <c r="AD124" s="47">
        <v>0</v>
      </c>
      <c r="AE124" s="47">
        <v>0</v>
      </c>
      <c r="AF124" s="43">
        <f t="shared" si="50"/>
        <v>0.39593469892473121</v>
      </c>
      <c r="AG124" s="47">
        <v>0</v>
      </c>
      <c r="AH124" s="48">
        <f t="shared" si="51"/>
        <v>0.18794337311827958</v>
      </c>
      <c r="AI124" s="47">
        <v>0</v>
      </c>
      <c r="AJ124" s="49">
        <f t="shared" si="52"/>
        <v>2.0673771043010754</v>
      </c>
      <c r="AK124" s="50"/>
    </row>
    <row r="125" spans="1:37" ht="15" customHeight="1" thickTop="1" thickBot="1" x14ac:dyDescent="0.4">
      <c r="A125" s="35">
        <v>40</v>
      </c>
      <c r="B125" s="36">
        <v>45932</v>
      </c>
      <c r="C125" s="35" t="s">
        <v>0</v>
      </c>
      <c r="D125" s="35"/>
      <c r="E125" s="37" t="s">
        <v>104</v>
      </c>
      <c r="F125" s="35" t="s">
        <v>45</v>
      </c>
      <c r="G125" s="35"/>
      <c r="H125" s="38" t="s">
        <v>55</v>
      </c>
      <c r="I125" s="35" t="s">
        <v>101</v>
      </c>
      <c r="J125" s="38" t="s">
        <v>57</v>
      </c>
      <c r="K125" s="38" t="s">
        <v>49</v>
      </c>
      <c r="L125" s="39">
        <v>100</v>
      </c>
      <c r="M125" s="40">
        <v>100</v>
      </c>
      <c r="N125" s="41">
        <v>100</v>
      </c>
      <c r="O125" s="42" t="s">
        <v>50</v>
      </c>
      <c r="P125" s="43">
        <v>230</v>
      </c>
      <c r="Q125" s="43"/>
      <c r="R125" s="43">
        <v>0</v>
      </c>
      <c r="S125" s="44">
        <v>44</v>
      </c>
      <c r="T125" s="45">
        <f>(M125+M125+N125+10)/25.4</f>
        <v>12.20472440944882</v>
      </c>
      <c r="U125" s="45">
        <f>((L125+M125+L125+M125+55+55)/25.4)</f>
        <v>20.078740157480315</v>
      </c>
      <c r="V125" s="43">
        <f>T126*U126*P125/1550</f>
        <v>41.826612903225808</v>
      </c>
      <c r="W125" s="43">
        <f t="shared" si="88"/>
        <v>1.8403709677419355</v>
      </c>
      <c r="X125" s="46">
        <f t="shared" si="89"/>
        <v>1.2547983870967743</v>
      </c>
      <c r="Y125" s="43">
        <f>S125*X125/1000</f>
        <v>5.5211129032258069E-2</v>
      </c>
      <c r="Z125" s="43">
        <f>W125+Y125</f>
        <v>1.8955820967741936</v>
      </c>
      <c r="AA125" s="43">
        <v>6.8</v>
      </c>
      <c r="AB125" s="43">
        <f>(V125+X125)*AA125/1000</f>
        <v>0.29295359677419358</v>
      </c>
      <c r="AC125" s="43">
        <f t="shared" si="84"/>
        <v>0.16666666666666666</v>
      </c>
      <c r="AD125" s="47">
        <v>0</v>
      </c>
      <c r="AE125" s="47">
        <v>0</v>
      </c>
      <c r="AF125" s="43">
        <f t="shared" si="50"/>
        <v>0.45962026344086027</v>
      </c>
      <c r="AG125" s="47">
        <v>0</v>
      </c>
      <c r="AH125" s="48">
        <f t="shared" si="51"/>
        <v>0.2355202360215054</v>
      </c>
      <c r="AI125" s="47">
        <v>0</v>
      </c>
      <c r="AJ125" s="49">
        <f t="shared" si="52"/>
        <v>2.5907225962365592</v>
      </c>
      <c r="AK125" s="50">
        <f t="shared" si="53"/>
        <v>10.645622997580645</v>
      </c>
    </row>
    <row r="126" spans="1:37" ht="15" customHeight="1" thickTop="1" thickBot="1" x14ac:dyDescent="0.4">
      <c r="A126" s="35">
        <v>40</v>
      </c>
      <c r="B126" s="36">
        <v>45932</v>
      </c>
      <c r="C126" s="35" t="s">
        <v>0</v>
      </c>
      <c r="D126" s="35"/>
      <c r="E126" s="37" t="s">
        <v>104</v>
      </c>
      <c r="F126" s="35" t="s">
        <v>45</v>
      </c>
      <c r="G126" s="35"/>
      <c r="H126" s="38" t="s">
        <v>55</v>
      </c>
      <c r="I126" s="35" t="s">
        <v>101</v>
      </c>
      <c r="J126" s="38" t="s">
        <v>57</v>
      </c>
      <c r="K126" s="38" t="s">
        <v>49</v>
      </c>
      <c r="L126" s="39"/>
      <c r="M126" s="40"/>
      <c r="N126" s="41"/>
      <c r="O126" s="42" t="s">
        <v>51</v>
      </c>
      <c r="P126" s="43">
        <v>150</v>
      </c>
      <c r="Q126" s="43"/>
      <c r="R126" s="43">
        <v>0</v>
      </c>
      <c r="S126" s="44">
        <v>38.5</v>
      </c>
      <c r="T126" s="43">
        <f>ROUNDUP($T125,0)+0.75</f>
        <v>13.75</v>
      </c>
      <c r="U126" s="43">
        <f>CEILING($U125,0.5)</f>
        <v>20.5</v>
      </c>
      <c r="V126" s="43">
        <f>T126*U126*(P126*1.4)*2/1550</f>
        <v>76.379032258064512</v>
      </c>
      <c r="W126" s="43">
        <f t="shared" si="88"/>
        <v>2.9405927419354838</v>
      </c>
      <c r="X126" s="46">
        <f t="shared" si="89"/>
        <v>2.2913709677419352</v>
      </c>
      <c r="Y126" s="43">
        <f t="shared" ref="Y126:Y127" si="99">S126*X126/1000</f>
        <v>8.8217782258064509E-2</v>
      </c>
      <c r="Z126" s="43">
        <f t="shared" ref="Z126:Z127" si="100">W126+Y126</f>
        <v>3.0288105241935481</v>
      </c>
      <c r="AA126" s="43">
        <v>6.8</v>
      </c>
      <c r="AB126" s="43">
        <f t="shared" ref="AB126:AB127" si="101">(V126+X126)*AA126/1000</f>
        <v>0.53495874193548387</v>
      </c>
      <c r="AC126" s="43">
        <f t="shared" si="84"/>
        <v>0.16666666666666666</v>
      </c>
      <c r="AD126" s="47">
        <v>0</v>
      </c>
      <c r="AE126" s="47">
        <v>0</v>
      </c>
      <c r="AF126" s="43">
        <f t="shared" si="50"/>
        <v>0.7016254086021505</v>
      </c>
      <c r="AG126" s="47">
        <v>0</v>
      </c>
      <c r="AH126" s="48">
        <f t="shared" si="51"/>
        <v>0.37304359327956987</v>
      </c>
      <c r="AI126" s="47">
        <v>0</v>
      </c>
      <c r="AJ126" s="49">
        <f t="shared" si="52"/>
        <v>4.1034795260752679</v>
      </c>
      <c r="AK126" s="50"/>
    </row>
    <row r="127" spans="1:37" ht="15" customHeight="1" thickTop="1" thickBot="1" x14ac:dyDescent="0.4">
      <c r="A127" s="35">
        <v>40</v>
      </c>
      <c r="B127" s="36">
        <v>45932</v>
      </c>
      <c r="C127" s="35" t="s">
        <v>0</v>
      </c>
      <c r="D127" s="35"/>
      <c r="E127" s="37" t="s">
        <v>104</v>
      </c>
      <c r="F127" s="35" t="s">
        <v>45</v>
      </c>
      <c r="G127" s="35"/>
      <c r="H127" s="38" t="s">
        <v>55</v>
      </c>
      <c r="I127" s="35" t="s">
        <v>101</v>
      </c>
      <c r="J127" s="38" t="s">
        <v>57</v>
      </c>
      <c r="K127" s="38" t="s">
        <v>49</v>
      </c>
      <c r="L127" s="39"/>
      <c r="M127" s="40"/>
      <c r="N127" s="41"/>
      <c r="O127" s="42" t="s">
        <v>50</v>
      </c>
      <c r="P127" s="43">
        <v>180</v>
      </c>
      <c r="Q127" s="43"/>
      <c r="R127" s="43">
        <v>0</v>
      </c>
      <c r="S127" s="44">
        <v>44</v>
      </c>
      <c r="T127" s="43">
        <f>T126</f>
        <v>13.75</v>
      </c>
      <c r="U127" s="43">
        <f>U126</f>
        <v>20.5</v>
      </c>
      <c r="V127" s="43">
        <f>T127*U127*P127*2/1550</f>
        <v>65.467741935483872</v>
      </c>
      <c r="W127" s="43">
        <f t="shared" si="88"/>
        <v>2.8805806451612903</v>
      </c>
      <c r="X127" s="46">
        <f t="shared" si="89"/>
        <v>1.964032258064516</v>
      </c>
      <c r="Y127" s="43">
        <f t="shared" si="99"/>
        <v>8.6417419354838695E-2</v>
      </c>
      <c r="Z127" s="43">
        <f t="shared" si="100"/>
        <v>2.9669980645161291</v>
      </c>
      <c r="AA127" s="43">
        <v>6.8</v>
      </c>
      <c r="AB127" s="43">
        <f t="shared" si="101"/>
        <v>0.45853606451612905</v>
      </c>
      <c r="AC127" s="43">
        <f t="shared" si="84"/>
        <v>0.16666666666666666</v>
      </c>
      <c r="AD127" s="47">
        <v>0</v>
      </c>
      <c r="AE127" s="47">
        <v>0</v>
      </c>
      <c r="AF127" s="43">
        <f t="shared" si="50"/>
        <v>0.62520273118279568</v>
      </c>
      <c r="AG127" s="47">
        <v>0</v>
      </c>
      <c r="AH127" s="48">
        <f t="shared" si="51"/>
        <v>0.35922007956989249</v>
      </c>
      <c r="AI127" s="47">
        <v>0</v>
      </c>
      <c r="AJ127" s="49">
        <f t="shared" si="52"/>
        <v>3.9514208752688171</v>
      </c>
      <c r="AK127" s="50"/>
    </row>
    <row r="128" spans="1:37" ht="15" customHeight="1" thickTop="1" thickBot="1" x14ac:dyDescent="0.4">
      <c r="A128" s="35">
        <v>41</v>
      </c>
      <c r="B128" s="36">
        <v>45932</v>
      </c>
      <c r="C128" s="35" t="s">
        <v>0</v>
      </c>
      <c r="D128" s="35"/>
      <c r="E128" s="51" t="s">
        <v>52</v>
      </c>
      <c r="F128" s="35" t="s">
        <v>45</v>
      </c>
      <c r="G128" s="35"/>
      <c r="H128" s="38" t="s">
        <v>46</v>
      </c>
      <c r="I128" s="38" t="s">
        <v>105</v>
      </c>
      <c r="J128" s="38" t="s">
        <v>48</v>
      </c>
      <c r="K128" s="38" t="s">
        <v>49</v>
      </c>
      <c r="L128" s="39">
        <v>100</v>
      </c>
      <c r="M128" s="40">
        <v>100</v>
      </c>
      <c r="N128" s="41">
        <v>100</v>
      </c>
      <c r="O128" s="42" t="s">
        <v>50</v>
      </c>
      <c r="P128" s="43">
        <v>230</v>
      </c>
      <c r="Q128" s="43"/>
      <c r="R128" s="43">
        <v>0</v>
      </c>
      <c r="S128" s="44">
        <v>44</v>
      </c>
      <c r="T128" s="45">
        <f>((M128/2)+N128+10)/25.4</f>
        <v>6.2992125984251972</v>
      </c>
      <c r="U128" s="45">
        <f>((L128+M128+L128+M128+55)/25.4)</f>
        <v>17.913385826771655</v>
      </c>
      <c r="V128" s="43">
        <f>T129*U129*P128/1550</f>
        <v>20.7</v>
      </c>
      <c r="W128" s="43">
        <f t="shared" si="88"/>
        <v>0.91079999999999994</v>
      </c>
      <c r="X128" s="46">
        <f t="shared" si="89"/>
        <v>0.621</v>
      </c>
      <c r="Y128" s="43">
        <f>S128*X128/1000</f>
        <v>2.7323999999999998E-2</v>
      </c>
      <c r="Z128" s="43">
        <f>W128+Y128</f>
        <v>0.93812399999999996</v>
      </c>
      <c r="AA128" s="43">
        <v>6.8</v>
      </c>
      <c r="AB128" s="43">
        <f>(V128+X128)*AA128/1000</f>
        <v>0.14498279999999997</v>
      </c>
      <c r="AC128" s="43">
        <f t="shared" si="84"/>
        <v>0.16666666666666666</v>
      </c>
      <c r="AD128" s="47">
        <v>0</v>
      </c>
      <c r="AE128" s="47">
        <v>0</v>
      </c>
      <c r="AF128" s="43">
        <f t="shared" si="50"/>
        <v>0.3116494666666666</v>
      </c>
      <c r="AG128" s="47">
        <v>0</v>
      </c>
      <c r="AH128" s="48">
        <f t="shared" si="51"/>
        <v>0.12497734666666666</v>
      </c>
      <c r="AI128" s="47">
        <v>0</v>
      </c>
      <c r="AJ128" s="49">
        <f t="shared" si="52"/>
        <v>1.374750813333333</v>
      </c>
      <c r="AK128" s="50">
        <f t="shared" si="53"/>
        <v>4.0968836919999996</v>
      </c>
    </row>
    <row r="129" spans="1:37" ht="15" customHeight="1" thickTop="1" thickBot="1" x14ac:dyDescent="0.4">
      <c r="A129" s="35">
        <v>41</v>
      </c>
      <c r="B129" s="36">
        <v>45932</v>
      </c>
      <c r="C129" s="35" t="s">
        <v>0</v>
      </c>
      <c r="D129" s="35"/>
      <c r="E129" s="51" t="s">
        <v>52</v>
      </c>
      <c r="F129" s="35" t="s">
        <v>45</v>
      </c>
      <c r="G129" s="35"/>
      <c r="H129" s="38" t="s">
        <v>46</v>
      </c>
      <c r="I129" s="38" t="s">
        <v>105</v>
      </c>
      <c r="J129" s="38" t="s">
        <v>48</v>
      </c>
      <c r="K129" s="38" t="s">
        <v>49</v>
      </c>
      <c r="L129" s="39"/>
      <c r="M129" s="40"/>
      <c r="N129" s="41"/>
      <c r="O129" s="42" t="s">
        <v>51</v>
      </c>
      <c r="P129" s="43">
        <v>180</v>
      </c>
      <c r="Q129" s="43"/>
      <c r="R129" s="43">
        <v>0</v>
      </c>
      <c r="S129" s="44">
        <v>38.5</v>
      </c>
      <c r="T129" s="43">
        <f>ROUNDUP($T128,0)+0.75</f>
        <v>7.75</v>
      </c>
      <c r="U129" s="43">
        <f>CEILING($U128,0.5)</f>
        <v>18</v>
      </c>
      <c r="V129" s="43">
        <f>T129*U129*(P129*1.4)/1550</f>
        <v>22.679999999999996</v>
      </c>
      <c r="W129" s="43">
        <f t="shared" si="88"/>
        <v>0.87317999999999985</v>
      </c>
      <c r="X129" s="46">
        <f t="shared" si="89"/>
        <v>0.68039999999999989</v>
      </c>
      <c r="Y129" s="43">
        <f t="shared" ref="Y129:Y130" si="102">S129*X129/1000</f>
        <v>2.6195399999999997E-2</v>
      </c>
      <c r="Z129" s="43">
        <f t="shared" ref="Z129:Z130" si="103">W129+Y129</f>
        <v>0.89937539999999982</v>
      </c>
      <c r="AA129" s="43">
        <v>6.8</v>
      </c>
      <c r="AB129" s="43">
        <f t="shared" ref="AB129:AB130" si="104">(V129+X129)*AA129/1000</f>
        <v>0.15885071999999997</v>
      </c>
      <c r="AC129" s="43">
        <f t="shared" si="84"/>
        <v>0.16666666666666666</v>
      </c>
      <c r="AD129" s="47">
        <v>0</v>
      </c>
      <c r="AE129" s="47">
        <v>0</v>
      </c>
      <c r="AF129" s="43">
        <f t="shared" si="50"/>
        <v>0.32551738666666663</v>
      </c>
      <c r="AG129" s="47">
        <v>0</v>
      </c>
      <c r="AH129" s="48">
        <f t="shared" si="51"/>
        <v>0.12248927866666666</v>
      </c>
      <c r="AI129" s="47">
        <v>0</v>
      </c>
      <c r="AJ129" s="49">
        <f t="shared" si="52"/>
        <v>1.3473820653333333</v>
      </c>
      <c r="AK129" s="50"/>
    </row>
    <row r="130" spans="1:37" ht="15" customHeight="1" thickTop="1" thickBot="1" x14ac:dyDescent="0.4">
      <c r="A130" s="35">
        <v>41</v>
      </c>
      <c r="B130" s="36">
        <v>45932</v>
      </c>
      <c r="C130" s="35" t="s">
        <v>0</v>
      </c>
      <c r="D130" s="35"/>
      <c r="E130" s="51" t="s">
        <v>52</v>
      </c>
      <c r="F130" s="35" t="s">
        <v>45</v>
      </c>
      <c r="G130" s="35"/>
      <c r="H130" s="38" t="s">
        <v>46</v>
      </c>
      <c r="I130" s="38" t="s">
        <v>105</v>
      </c>
      <c r="J130" s="38" t="s">
        <v>48</v>
      </c>
      <c r="K130" s="38" t="s">
        <v>49</v>
      </c>
      <c r="L130" s="39"/>
      <c r="M130" s="40"/>
      <c r="N130" s="41"/>
      <c r="O130" s="42" t="s">
        <v>50</v>
      </c>
      <c r="P130" s="43">
        <v>230</v>
      </c>
      <c r="Q130" s="43"/>
      <c r="R130" s="43">
        <v>0</v>
      </c>
      <c r="S130" s="44">
        <v>44</v>
      </c>
      <c r="T130" s="43">
        <f>T129</f>
        <v>7.75</v>
      </c>
      <c r="U130" s="43">
        <f>U129</f>
        <v>18</v>
      </c>
      <c r="V130" s="43">
        <f>T130*U130*P130/1550</f>
        <v>20.7</v>
      </c>
      <c r="W130" s="43">
        <f t="shared" si="88"/>
        <v>0.91079999999999994</v>
      </c>
      <c r="X130" s="46">
        <f t="shared" si="89"/>
        <v>0.621</v>
      </c>
      <c r="Y130" s="43">
        <f t="shared" si="102"/>
        <v>2.7323999999999998E-2</v>
      </c>
      <c r="Z130" s="43">
        <f t="shared" si="103"/>
        <v>0.93812399999999996</v>
      </c>
      <c r="AA130" s="43">
        <v>6.8</v>
      </c>
      <c r="AB130" s="43">
        <f t="shared" si="104"/>
        <v>0.14498279999999997</v>
      </c>
      <c r="AC130" s="43">
        <f t="shared" si="84"/>
        <v>0.16666666666666666</v>
      </c>
      <c r="AD130" s="47">
        <v>0</v>
      </c>
      <c r="AE130" s="47">
        <v>0</v>
      </c>
      <c r="AF130" s="43">
        <f t="shared" si="50"/>
        <v>0.3116494666666666</v>
      </c>
      <c r="AG130" s="47">
        <v>0</v>
      </c>
      <c r="AH130" s="48">
        <f t="shared" si="51"/>
        <v>0.12497734666666666</v>
      </c>
      <c r="AI130" s="47">
        <v>0</v>
      </c>
      <c r="AJ130" s="49">
        <f t="shared" si="52"/>
        <v>1.374750813333333</v>
      </c>
      <c r="AK130" s="50"/>
    </row>
    <row r="131" spans="1:37" ht="15" customHeight="1" thickTop="1" thickBot="1" x14ac:dyDescent="0.4">
      <c r="A131" s="35">
        <v>42</v>
      </c>
      <c r="B131" s="36">
        <v>45932</v>
      </c>
      <c r="C131" s="35" t="s">
        <v>0</v>
      </c>
      <c r="D131" s="35"/>
      <c r="E131" s="51" t="s">
        <v>54</v>
      </c>
      <c r="F131" s="35" t="s">
        <v>45</v>
      </c>
      <c r="G131" s="35"/>
      <c r="H131" s="38" t="s">
        <v>55</v>
      </c>
      <c r="I131" s="38" t="s">
        <v>105</v>
      </c>
      <c r="J131" s="38" t="s">
        <v>48</v>
      </c>
      <c r="K131" s="38" t="s">
        <v>49</v>
      </c>
      <c r="L131" s="39">
        <v>100</v>
      </c>
      <c r="M131" s="40">
        <v>100</v>
      </c>
      <c r="N131" s="41">
        <v>100</v>
      </c>
      <c r="O131" s="42" t="s">
        <v>50</v>
      </c>
      <c r="P131" s="43">
        <v>230</v>
      </c>
      <c r="Q131" s="43"/>
      <c r="R131" s="43">
        <v>0</v>
      </c>
      <c r="S131" s="44">
        <v>44</v>
      </c>
      <c r="T131" s="45">
        <f>((M131/2)+N131+10)/25.4</f>
        <v>6.2992125984251972</v>
      </c>
      <c r="U131" s="45">
        <f>((L131+M131+L131+M131+55+55)/25.4)</f>
        <v>20.078740157480315</v>
      </c>
      <c r="V131" s="43">
        <f>T132*U132*P131/1550</f>
        <v>23.574999999999999</v>
      </c>
      <c r="W131" s="43">
        <f t="shared" si="88"/>
        <v>1.0372999999999999</v>
      </c>
      <c r="X131" s="46">
        <f t="shared" si="89"/>
        <v>0.70724999999999993</v>
      </c>
      <c r="Y131" s="43">
        <f>S131*X131/1000</f>
        <v>3.1118999999999997E-2</v>
      </c>
      <c r="Z131" s="43">
        <f>W131+Y131</f>
        <v>1.0684189999999998</v>
      </c>
      <c r="AA131" s="43">
        <v>6.8</v>
      </c>
      <c r="AB131" s="43">
        <f>(V131+X131)*AA131/1000</f>
        <v>0.16511929999999997</v>
      </c>
      <c r="AC131" s="43">
        <f t="shared" si="84"/>
        <v>0.16666666666666666</v>
      </c>
      <c r="AD131" s="47">
        <v>0</v>
      </c>
      <c r="AE131" s="47">
        <v>0</v>
      </c>
      <c r="AF131" s="43">
        <f t="shared" si="50"/>
        <v>0.3317859666666666</v>
      </c>
      <c r="AG131" s="47">
        <v>0</v>
      </c>
      <c r="AH131" s="48">
        <f t="shared" si="51"/>
        <v>0.14002049666666663</v>
      </c>
      <c r="AI131" s="47">
        <v>0</v>
      </c>
      <c r="AJ131" s="49">
        <f t="shared" si="52"/>
        <v>1.540225463333333</v>
      </c>
      <c r="AK131" s="50">
        <f t="shared" si="53"/>
        <v>7.2721207239999988</v>
      </c>
    </row>
    <row r="132" spans="1:37" ht="15" customHeight="1" thickTop="1" thickBot="1" x14ac:dyDescent="0.4">
      <c r="A132" s="35">
        <v>42</v>
      </c>
      <c r="B132" s="36">
        <v>45932</v>
      </c>
      <c r="C132" s="35" t="s">
        <v>0</v>
      </c>
      <c r="D132" s="35"/>
      <c r="E132" s="51" t="s">
        <v>54</v>
      </c>
      <c r="F132" s="35" t="s">
        <v>45</v>
      </c>
      <c r="G132" s="35"/>
      <c r="H132" s="38" t="s">
        <v>55</v>
      </c>
      <c r="I132" s="38" t="s">
        <v>105</v>
      </c>
      <c r="J132" s="38" t="s">
        <v>48</v>
      </c>
      <c r="K132" s="38" t="s">
        <v>49</v>
      </c>
      <c r="L132" s="39"/>
      <c r="M132" s="40"/>
      <c r="N132" s="41"/>
      <c r="O132" s="42" t="s">
        <v>51</v>
      </c>
      <c r="P132" s="43">
        <v>180</v>
      </c>
      <c r="Q132" s="43"/>
      <c r="R132" s="43">
        <v>0</v>
      </c>
      <c r="S132" s="44">
        <v>38.5</v>
      </c>
      <c r="T132" s="43">
        <f>ROUNDUP($T131,0)+0.75</f>
        <v>7.75</v>
      </c>
      <c r="U132" s="43">
        <f>CEILING($U131,0.5)</f>
        <v>20.5</v>
      </c>
      <c r="V132" s="43">
        <f>T132*U132*(P132*1.4)*2/1550</f>
        <v>51.659999999999989</v>
      </c>
      <c r="W132" s="43">
        <f t="shared" si="88"/>
        <v>1.9889099999999997</v>
      </c>
      <c r="X132" s="46">
        <f t="shared" si="89"/>
        <v>1.5497999999999996</v>
      </c>
      <c r="Y132" s="43">
        <f t="shared" ref="Y132:Y133" si="105">S132*X132/1000</f>
        <v>5.9667299999999986E-2</v>
      </c>
      <c r="Z132" s="43">
        <f t="shared" ref="Z132:Z133" si="106">W132+Y132</f>
        <v>2.0485772999999998</v>
      </c>
      <c r="AA132" s="43">
        <v>6.8</v>
      </c>
      <c r="AB132" s="43">
        <f t="shared" ref="AB132:AB133" si="107">(V132+X132)*AA132/1000</f>
        <v>0.36182663999999987</v>
      </c>
      <c r="AC132" s="43">
        <f t="shared" si="84"/>
        <v>0.16666666666666666</v>
      </c>
      <c r="AD132" s="47">
        <v>0</v>
      </c>
      <c r="AE132" s="47">
        <v>0</v>
      </c>
      <c r="AF132" s="43">
        <f t="shared" si="50"/>
        <v>0.5284933066666665</v>
      </c>
      <c r="AG132" s="47">
        <v>0</v>
      </c>
      <c r="AH132" s="48">
        <f t="shared" si="51"/>
        <v>0.25770706066666665</v>
      </c>
      <c r="AI132" s="47">
        <v>0</v>
      </c>
      <c r="AJ132" s="49">
        <f t="shared" si="52"/>
        <v>2.8347776673333329</v>
      </c>
      <c r="AK132" s="50"/>
    </row>
    <row r="133" spans="1:37" ht="15" customHeight="1" thickTop="1" thickBot="1" x14ac:dyDescent="0.4">
      <c r="A133" s="35">
        <v>42</v>
      </c>
      <c r="B133" s="36">
        <v>45932</v>
      </c>
      <c r="C133" s="35" t="s">
        <v>0</v>
      </c>
      <c r="D133" s="35"/>
      <c r="E133" s="51" t="s">
        <v>54</v>
      </c>
      <c r="F133" s="35" t="s">
        <v>45</v>
      </c>
      <c r="G133" s="35"/>
      <c r="H133" s="38" t="s">
        <v>55</v>
      </c>
      <c r="I133" s="38" t="s">
        <v>105</v>
      </c>
      <c r="J133" s="38" t="s">
        <v>48</v>
      </c>
      <c r="K133" s="38" t="s">
        <v>49</v>
      </c>
      <c r="L133" s="39"/>
      <c r="M133" s="40"/>
      <c r="N133" s="41"/>
      <c r="O133" s="42" t="s">
        <v>50</v>
      </c>
      <c r="P133" s="43">
        <v>230</v>
      </c>
      <c r="Q133" s="43"/>
      <c r="R133" s="43">
        <v>0</v>
      </c>
      <c r="S133" s="44">
        <v>44</v>
      </c>
      <c r="T133" s="43">
        <f>T132</f>
        <v>7.75</v>
      </c>
      <c r="U133" s="43">
        <f>U132</f>
        <v>20.5</v>
      </c>
      <c r="V133" s="43">
        <f>T133*U133*P133*2/1550</f>
        <v>47.15</v>
      </c>
      <c r="W133" s="43">
        <f t="shared" si="88"/>
        <v>2.0745999999999998</v>
      </c>
      <c r="X133" s="46">
        <f t="shared" si="89"/>
        <v>1.4144999999999999</v>
      </c>
      <c r="Y133" s="43">
        <f t="shared" si="105"/>
        <v>6.2237999999999995E-2</v>
      </c>
      <c r="Z133" s="43">
        <f t="shared" si="106"/>
        <v>2.1368379999999996</v>
      </c>
      <c r="AA133" s="43">
        <v>6.8</v>
      </c>
      <c r="AB133" s="43">
        <f t="shared" si="107"/>
        <v>0.33023859999999994</v>
      </c>
      <c r="AC133" s="43">
        <f t="shared" si="84"/>
        <v>0.16666666666666666</v>
      </c>
      <c r="AD133" s="47">
        <v>0</v>
      </c>
      <c r="AE133" s="47">
        <v>0</v>
      </c>
      <c r="AF133" s="43">
        <f t="shared" si="50"/>
        <v>0.49690526666666657</v>
      </c>
      <c r="AG133" s="47">
        <v>0</v>
      </c>
      <c r="AH133" s="48">
        <f t="shared" si="51"/>
        <v>0.2633743266666666</v>
      </c>
      <c r="AI133" s="47">
        <v>0</v>
      </c>
      <c r="AJ133" s="49">
        <f t="shared" si="52"/>
        <v>2.8971175933333324</v>
      </c>
      <c r="AK133" s="50"/>
    </row>
    <row r="134" spans="1:37" ht="15" customHeight="1" thickTop="1" thickBot="1" x14ac:dyDescent="0.4">
      <c r="A134" s="35">
        <v>43</v>
      </c>
      <c r="B134" s="36">
        <v>45932</v>
      </c>
      <c r="C134" s="35" t="s">
        <v>0</v>
      </c>
      <c r="D134" s="35"/>
      <c r="E134" s="51" t="s">
        <v>58</v>
      </c>
      <c r="F134" s="35" t="s">
        <v>45</v>
      </c>
      <c r="G134" s="35"/>
      <c r="H134" s="38" t="s">
        <v>46</v>
      </c>
      <c r="I134" s="38" t="s">
        <v>105</v>
      </c>
      <c r="J134" s="38" t="s">
        <v>57</v>
      </c>
      <c r="K134" s="38" t="s">
        <v>49</v>
      </c>
      <c r="L134" s="39">
        <v>100</v>
      </c>
      <c r="M134" s="40">
        <v>100</v>
      </c>
      <c r="N134" s="41">
        <v>100</v>
      </c>
      <c r="O134" s="42" t="s">
        <v>50</v>
      </c>
      <c r="P134" s="43">
        <v>230</v>
      </c>
      <c r="Q134" s="43"/>
      <c r="R134" s="43">
        <v>0</v>
      </c>
      <c r="S134" s="44">
        <v>44</v>
      </c>
      <c r="T134" s="45">
        <f>((M134/2)+N134+10)/25.4</f>
        <v>6.2992125984251972</v>
      </c>
      <c r="U134" s="45">
        <f>((L134+M134+L134+M134+55+55)/25.4)</f>
        <v>20.078740157480315</v>
      </c>
      <c r="V134" s="43">
        <f>T135*U135*P134/1550</f>
        <v>23.574999999999999</v>
      </c>
      <c r="W134" s="43">
        <f t="shared" si="88"/>
        <v>1.0372999999999999</v>
      </c>
      <c r="X134" s="46">
        <f t="shared" si="89"/>
        <v>0.70724999999999993</v>
      </c>
      <c r="Y134" s="43">
        <f>S134*X134/1000</f>
        <v>3.1118999999999997E-2</v>
      </c>
      <c r="Z134" s="43">
        <f>W134+Y134</f>
        <v>1.0684189999999998</v>
      </c>
      <c r="AA134" s="43">
        <v>6.8</v>
      </c>
      <c r="AB134" s="43">
        <f>(V134+X134)*AA134/1000</f>
        <v>0.16511929999999997</v>
      </c>
      <c r="AC134" s="43">
        <f t="shared" si="84"/>
        <v>0.16666666666666666</v>
      </c>
      <c r="AD134" s="47">
        <v>0</v>
      </c>
      <c r="AE134" s="47">
        <v>0</v>
      </c>
      <c r="AF134" s="43">
        <f t="shared" si="50"/>
        <v>0.3317859666666666</v>
      </c>
      <c r="AG134" s="47">
        <v>0</v>
      </c>
      <c r="AH134" s="48">
        <f t="shared" si="51"/>
        <v>0.14002049666666663</v>
      </c>
      <c r="AI134" s="47">
        <v>0</v>
      </c>
      <c r="AJ134" s="49">
        <f t="shared" si="52"/>
        <v>1.540225463333333</v>
      </c>
      <c r="AK134" s="50">
        <f t="shared" si="53"/>
        <v>4.589506426999999</v>
      </c>
    </row>
    <row r="135" spans="1:37" ht="15" customHeight="1" thickTop="1" thickBot="1" x14ac:dyDescent="0.4">
      <c r="A135" s="35">
        <v>43</v>
      </c>
      <c r="B135" s="36">
        <v>45932</v>
      </c>
      <c r="C135" s="35" t="s">
        <v>0</v>
      </c>
      <c r="D135" s="35"/>
      <c r="E135" s="51" t="s">
        <v>58</v>
      </c>
      <c r="F135" s="35" t="s">
        <v>45</v>
      </c>
      <c r="G135" s="35"/>
      <c r="H135" s="38" t="s">
        <v>46</v>
      </c>
      <c r="I135" s="38" t="s">
        <v>105</v>
      </c>
      <c r="J135" s="38" t="s">
        <v>57</v>
      </c>
      <c r="K135" s="38" t="s">
        <v>49</v>
      </c>
      <c r="L135" s="39"/>
      <c r="M135" s="40"/>
      <c r="N135" s="41"/>
      <c r="O135" s="42" t="s">
        <v>51</v>
      </c>
      <c r="P135" s="43">
        <v>180</v>
      </c>
      <c r="Q135" s="43"/>
      <c r="R135" s="43">
        <v>0</v>
      </c>
      <c r="S135" s="44">
        <v>38.5</v>
      </c>
      <c r="T135" s="43">
        <f>ROUNDUP($T134,0)+0.75</f>
        <v>7.75</v>
      </c>
      <c r="U135" s="43">
        <f>CEILING($U134,0.5)</f>
        <v>20.5</v>
      </c>
      <c r="V135" s="43">
        <f>T135*U135*(P135*1.4)/1550</f>
        <v>25.829999999999995</v>
      </c>
      <c r="W135" s="43">
        <f t="shared" si="88"/>
        <v>0.99445499999999987</v>
      </c>
      <c r="X135" s="46">
        <f t="shared" si="89"/>
        <v>0.77489999999999981</v>
      </c>
      <c r="Y135" s="43">
        <f t="shared" ref="Y135:Y136" si="108">S135*X135/1000</f>
        <v>2.9833649999999993E-2</v>
      </c>
      <c r="Z135" s="43">
        <f t="shared" ref="Z135:Z136" si="109">W135+Y135</f>
        <v>1.0242886499999999</v>
      </c>
      <c r="AA135" s="43">
        <v>6.8</v>
      </c>
      <c r="AB135" s="43">
        <f t="shared" ref="AB135:AB136" si="110">(V135+X135)*AA135/1000</f>
        <v>0.18091331999999993</v>
      </c>
      <c r="AC135" s="43">
        <f t="shared" si="84"/>
        <v>0.16666666666666666</v>
      </c>
      <c r="AD135" s="47">
        <v>0</v>
      </c>
      <c r="AE135" s="47">
        <v>0</v>
      </c>
      <c r="AF135" s="43">
        <f t="shared" si="50"/>
        <v>0.34757998666666656</v>
      </c>
      <c r="AG135" s="47">
        <v>0</v>
      </c>
      <c r="AH135" s="48">
        <f t="shared" si="51"/>
        <v>0.13718686366666666</v>
      </c>
      <c r="AI135" s="47">
        <v>0</v>
      </c>
      <c r="AJ135" s="49">
        <f t="shared" si="52"/>
        <v>1.5090555003333332</v>
      </c>
      <c r="AK135" s="50"/>
    </row>
    <row r="136" spans="1:37" ht="15" customHeight="1" thickTop="1" thickBot="1" x14ac:dyDescent="0.4">
      <c r="A136" s="35">
        <v>43</v>
      </c>
      <c r="B136" s="36">
        <v>45932</v>
      </c>
      <c r="C136" s="35" t="s">
        <v>0</v>
      </c>
      <c r="D136" s="35"/>
      <c r="E136" s="51" t="s">
        <v>58</v>
      </c>
      <c r="F136" s="35" t="s">
        <v>45</v>
      </c>
      <c r="G136" s="35"/>
      <c r="H136" s="38" t="s">
        <v>46</v>
      </c>
      <c r="I136" s="38" t="s">
        <v>105</v>
      </c>
      <c r="J136" s="38" t="s">
        <v>57</v>
      </c>
      <c r="K136" s="38" t="s">
        <v>49</v>
      </c>
      <c r="L136" s="39"/>
      <c r="M136" s="40"/>
      <c r="N136" s="41"/>
      <c r="O136" s="42" t="s">
        <v>50</v>
      </c>
      <c r="P136" s="43">
        <v>230</v>
      </c>
      <c r="Q136" s="43"/>
      <c r="R136" s="43">
        <v>0</v>
      </c>
      <c r="S136" s="44">
        <v>44</v>
      </c>
      <c r="T136" s="43">
        <f>T135</f>
        <v>7.75</v>
      </c>
      <c r="U136" s="43">
        <f>U135</f>
        <v>20.5</v>
      </c>
      <c r="V136" s="43">
        <f>T136*U136*P136/1550</f>
        <v>23.574999999999999</v>
      </c>
      <c r="W136" s="43">
        <f t="shared" si="88"/>
        <v>1.0372999999999999</v>
      </c>
      <c r="X136" s="46">
        <f t="shared" si="89"/>
        <v>0.70724999999999993</v>
      </c>
      <c r="Y136" s="43">
        <f t="shared" si="108"/>
        <v>3.1118999999999997E-2</v>
      </c>
      <c r="Z136" s="43">
        <f t="shared" si="109"/>
        <v>1.0684189999999998</v>
      </c>
      <c r="AA136" s="43">
        <v>6.8</v>
      </c>
      <c r="AB136" s="43">
        <f t="shared" si="110"/>
        <v>0.16511929999999997</v>
      </c>
      <c r="AC136" s="43">
        <f t="shared" si="84"/>
        <v>0.16666666666666666</v>
      </c>
      <c r="AD136" s="47">
        <v>0</v>
      </c>
      <c r="AE136" s="47">
        <v>0</v>
      </c>
      <c r="AF136" s="43">
        <f t="shared" si="50"/>
        <v>0.3317859666666666</v>
      </c>
      <c r="AG136" s="47">
        <v>0</v>
      </c>
      <c r="AH136" s="48">
        <f t="shared" si="51"/>
        <v>0.14002049666666663</v>
      </c>
      <c r="AI136" s="47">
        <v>0</v>
      </c>
      <c r="AJ136" s="49">
        <f t="shared" si="52"/>
        <v>1.540225463333333</v>
      </c>
      <c r="AK136" s="50"/>
    </row>
    <row r="137" spans="1:37" ht="15" customHeight="1" thickTop="1" thickBot="1" x14ac:dyDescent="0.4">
      <c r="A137" s="35">
        <v>44</v>
      </c>
      <c r="B137" s="36">
        <v>45932</v>
      </c>
      <c r="C137" s="35" t="s">
        <v>0</v>
      </c>
      <c r="D137" s="35"/>
      <c r="E137" s="51" t="s">
        <v>59</v>
      </c>
      <c r="F137" s="35" t="s">
        <v>45</v>
      </c>
      <c r="G137" s="35"/>
      <c r="H137" s="38" t="s">
        <v>55</v>
      </c>
      <c r="I137" s="38" t="s">
        <v>105</v>
      </c>
      <c r="J137" s="38" t="s">
        <v>57</v>
      </c>
      <c r="K137" s="38" t="s">
        <v>49</v>
      </c>
      <c r="L137" s="39">
        <v>100</v>
      </c>
      <c r="M137" s="40">
        <v>100</v>
      </c>
      <c r="N137" s="41">
        <v>100</v>
      </c>
      <c r="O137" s="42" t="s">
        <v>50</v>
      </c>
      <c r="P137" s="43">
        <v>230</v>
      </c>
      <c r="Q137" s="43"/>
      <c r="R137" s="43">
        <v>0</v>
      </c>
      <c r="S137" s="44">
        <v>44</v>
      </c>
      <c r="T137" s="45">
        <f>((M137/2)+N137+10)/25.4</f>
        <v>6.2992125984251972</v>
      </c>
      <c r="U137" s="45">
        <f>((L137+M137+L137+M137+55+55)/25.4)</f>
        <v>20.078740157480315</v>
      </c>
      <c r="V137" s="43">
        <f>T138*U138*P137/1550</f>
        <v>23.574999999999999</v>
      </c>
      <c r="W137" s="43">
        <f t="shared" si="88"/>
        <v>1.0372999999999999</v>
      </c>
      <c r="X137" s="46">
        <f t="shared" si="89"/>
        <v>0.70724999999999993</v>
      </c>
      <c r="Y137" s="43">
        <f>S137*X137/1000</f>
        <v>3.1118999999999997E-2</v>
      </c>
      <c r="Z137" s="43">
        <f>W137+Y137</f>
        <v>1.0684189999999998</v>
      </c>
      <c r="AA137" s="43">
        <v>6.8</v>
      </c>
      <c r="AB137" s="43">
        <f>(V137+X137)*AA137/1000</f>
        <v>0.16511929999999997</v>
      </c>
      <c r="AC137" s="43">
        <f t="shared" si="84"/>
        <v>0.16666666666666666</v>
      </c>
      <c r="AD137" s="47">
        <v>0</v>
      </c>
      <c r="AE137" s="47">
        <v>0</v>
      </c>
      <c r="AF137" s="43">
        <f t="shared" si="50"/>
        <v>0.3317859666666666</v>
      </c>
      <c r="AG137" s="47">
        <v>0</v>
      </c>
      <c r="AH137" s="48">
        <f t="shared" si="51"/>
        <v>0.14002049666666663</v>
      </c>
      <c r="AI137" s="47">
        <v>0</v>
      </c>
      <c r="AJ137" s="49">
        <f t="shared" si="52"/>
        <v>1.540225463333333</v>
      </c>
      <c r="AK137" s="50">
        <f t="shared" si="53"/>
        <v>7.2721207239999988</v>
      </c>
    </row>
    <row r="138" spans="1:37" ht="15" customHeight="1" thickTop="1" thickBot="1" x14ac:dyDescent="0.4">
      <c r="A138" s="35">
        <v>44</v>
      </c>
      <c r="B138" s="36">
        <v>45932</v>
      </c>
      <c r="C138" s="35" t="s">
        <v>0</v>
      </c>
      <c r="D138" s="35"/>
      <c r="E138" s="51" t="s">
        <v>59</v>
      </c>
      <c r="F138" s="35" t="s">
        <v>45</v>
      </c>
      <c r="G138" s="35"/>
      <c r="H138" s="38" t="s">
        <v>55</v>
      </c>
      <c r="I138" s="38" t="s">
        <v>105</v>
      </c>
      <c r="J138" s="38" t="s">
        <v>57</v>
      </c>
      <c r="K138" s="38" t="s">
        <v>49</v>
      </c>
      <c r="L138" s="39"/>
      <c r="M138" s="40"/>
      <c r="N138" s="41"/>
      <c r="O138" s="42" t="s">
        <v>51</v>
      </c>
      <c r="P138" s="43">
        <v>180</v>
      </c>
      <c r="Q138" s="43"/>
      <c r="R138" s="43">
        <v>0</v>
      </c>
      <c r="S138" s="44">
        <v>38.5</v>
      </c>
      <c r="T138" s="43">
        <f>ROUNDUP($T137,0)+0.75</f>
        <v>7.75</v>
      </c>
      <c r="U138" s="43">
        <f>CEILING($U137,0.5)</f>
        <v>20.5</v>
      </c>
      <c r="V138" s="43">
        <f>T138*U138*(P138*1.4)*2/1550</f>
        <v>51.659999999999989</v>
      </c>
      <c r="W138" s="43">
        <f t="shared" si="88"/>
        <v>1.9889099999999997</v>
      </c>
      <c r="X138" s="46">
        <f t="shared" si="89"/>
        <v>1.5497999999999996</v>
      </c>
      <c r="Y138" s="43">
        <f t="shared" ref="Y138:Y139" si="111">S138*X138/1000</f>
        <v>5.9667299999999986E-2</v>
      </c>
      <c r="Z138" s="43">
        <f t="shared" ref="Z138:Z139" si="112">W138+Y138</f>
        <v>2.0485772999999998</v>
      </c>
      <c r="AA138" s="43">
        <v>6.8</v>
      </c>
      <c r="AB138" s="43">
        <f t="shared" ref="AB138:AB139" si="113">(V138+X138)*AA138/1000</f>
        <v>0.36182663999999987</v>
      </c>
      <c r="AC138" s="43">
        <f t="shared" si="84"/>
        <v>0.16666666666666666</v>
      </c>
      <c r="AD138" s="47">
        <v>0</v>
      </c>
      <c r="AE138" s="47">
        <v>0</v>
      </c>
      <c r="AF138" s="43">
        <f t="shared" si="50"/>
        <v>0.5284933066666665</v>
      </c>
      <c r="AG138" s="47">
        <v>0</v>
      </c>
      <c r="AH138" s="48">
        <f t="shared" si="51"/>
        <v>0.25770706066666665</v>
      </c>
      <c r="AI138" s="47">
        <v>0</v>
      </c>
      <c r="AJ138" s="49">
        <f t="shared" si="52"/>
        <v>2.8347776673333329</v>
      </c>
      <c r="AK138" s="50"/>
    </row>
    <row r="139" spans="1:37" ht="15" customHeight="1" thickTop="1" thickBot="1" x14ac:dyDescent="0.4">
      <c r="A139" s="35">
        <v>44</v>
      </c>
      <c r="B139" s="36">
        <v>45932</v>
      </c>
      <c r="C139" s="35" t="s">
        <v>0</v>
      </c>
      <c r="D139" s="35"/>
      <c r="E139" s="51" t="s">
        <v>59</v>
      </c>
      <c r="F139" s="35" t="s">
        <v>45</v>
      </c>
      <c r="G139" s="35"/>
      <c r="H139" s="38" t="s">
        <v>55</v>
      </c>
      <c r="I139" s="38" t="s">
        <v>105</v>
      </c>
      <c r="J139" s="38" t="s">
        <v>57</v>
      </c>
      <c r="K139" s="38" t="s">
        <v>49</v>
      </c>
      <c r="L139" s="39"/>
      <c r="M139" s="40"/>
      <c r="N139" s="41"/>
      <c r="O139" s="42" t="s">
        <v>50</v>
      </c>
      <c r="P139" s="43">
        <v>230</v>
      </c>
      <c r="Q139" s="43"/>
      <c r="R139" s="43">
        <v>0</v>
      </c>
      <c r="S139" s="44">
        <v>44</v>
      </c>
      <c r="T139" s="43">
        <f>T138</f>
        <v>7.75</v>
      </c>
      <c r="U139" s="43">
        <f>U138</f>
        <v>20.5</v>
      </c>
      <c r="V139" s="43">
        <f>T139*U139*P139*2/1550</f>
        <v>47.15</v>
      </c>
      <c r="W139" s="43">
        <f t="shared" si="88"/>
        <v>2.0745999999999998</v>
      </c>
      <c r="X139" s="46">
        <f t="shared" si="89"/>
        <v>1.4144999999999999</v>
      </c>
      <c r="Y139" s="43">
        <f t="shared" si="111"/>
        <v>6.2237999999999995E-2</v>
      </c>
      <c r="Z139" s="43">
        <f t="shared" si="112"/>
        <v>2.1368379999999996</v>
      </c>
      <c r="AA139" s="43">
        <v>6.8</v>
      </c>
      <c r="AB139" s="43">
        <f t="shared" si="113"/>
        <v>0.33023859999999994</v>
      </c>
      <c r="AC139" s="43">
        <f t="shared" si="84"/>
        <v>0.16666666666666666</v>
      </c>
      <c r="AD139" s="47">
        <v>0</v>
      </c>
      <c r="AE139" s="47">
        <v>0</v>
      </c>
      <c r="AF139" s="43">
        <f t="shared" si="50"/>
        <v>0.49690526666666657</v>
      </c>
      <c r="AG139" s="47">
        <v>0</v>
      </c>
      <c r="AH139" s="48">
        <f t="shared" si="51"/>
        <v>0.2633743266666666</v>
      </c>
      <c r="AI139" s="47">
        <v>0</v>
      </c>
      <c r="AJ139" s="49">
        <f t="shared" si="52"/>
        <v>2.8971175933333324</v>
      </c>
      <c r="AK139" s="50"/>
    </row>
    <row r="140" spans="1:37" ht="15" customHeight="1" thickTop="1" thickBot="1" x14ac:dyDescent="0.4">
      <c r="A140" s="35">
        <v>45</v>
      </c>
      <c r="B140" s="36">
        <v>45932</v>
      </c>
      <c r="C140" s="35" t="s">
        <v>0</v>
      </c>
      <c r="D140" s="35"/>
      <c r="E140" s="51" t="s">
        <v>58</v>
      </c>
      <c r="F140" s="35" t="s">
        <v>45</v>
      </c>
      <c r="G140" s="35"/>
      <c r="H140" s="38" t="s">
        <v>46</v>
      </c>
      <c r="I140" s="35" t="s">
        <v>76</v>
      </c>
      <c r="J140" s="38" t="s">
        <v>57</v>
      </c>
      <c r="K140" s="38" t="s">
        <v>49</v>
      </c>
      <c r="L140" s="39">
        <v>100</v>
      </c>
      <c r="M140" s="40">
        <v>100</v>
      </c>
      <c r="N140" s="41">
        <v>100</v>
      </c>
      <c r="O140" s="42" t="s">
        <v>50</v>
      </c>
      <c r="P140" s="43">
        <v>230</v>
      </c>
      <c r="Q140" s="43"/>
      <c r="R140" s="43">
        <v>0</v>
      </c>
      <c r="S140" s="44">
        <v>44</v>
      </c>
      <c r="T140" s="45">
        <f>((M140/2)+N140+10)/25.4</f>
        <v>6.2992125984251972</v>
      </c>
      <c r="U140" s="45">
        <f>((L140+M140+L140+M140+55+55)/25.4)</f>
        <v>20.078740157480315</v>
      </c>
      <c r="V140" s="43">
        <f>T141*U141*P140/1550</f>
        <v>23.574999999999999</v>
      </c>
      <c r="W140" s="43">
        <f t="shared" si="88"/>
        <v>1.0372999999999999</v>
      </c>
      <c r="X140" s="46">
        <f t="shared" si="89"/>
        <v>0.70724999999999993</v>
      </c>
      <c r="Y140" s="43">
        <f>S140*X140/1000</f>
        <v>3.1118999999999997E-2</v>
      </c>
      <c r="Z140" s="43">
        <f>W140+Y140</f>
        <v>1.0684189999999998</v>
      </c>
      <c r="AA140" s="43">
        <v>6.8</v>
      </c>
      <c r="AB140" s="43">
        <f>(V140+X140)*AA140/1000</f>
        <v>0.16511929999999997</v>
      </c>
      <c r="AC140" s="43">
        <f t="shared" si="84"/>
        <v>0.16666666666666666</v>
      </c>
      <c r="AD140" s="47">
        <v>0</v>
      </c>
      <c r="AE140" s="47">
        <v>0</v>
      </c>
      <c r="AF140" s="43">
        <f t="shared" si="50"/>
        <v>0.3317859666666666</v>
      </c>
      <c r="AG140" s="47">
        <v>0</v>
      </c>
      <c r="AH140" s="48">
        <f t="shared" si="51"/>
        <v>0.14002049666666663</v>
      </c>
      <c r="AI140" s="47">
        <v>0</v>
      </c>
      <c r="AJ140" s="49">
        <f t="shared" si="52"/>
        <v>1.540225463333333</v>
      </c>
      <c r="AK140" s="50">
        <f t="shared" ref="AK140:AK161" si="114">AJ140+AJ141+AJ142</f>
        <v>4.589506426999999</v>
      </c>
    </row>
    <row r="141" spans="1:37" ht="15" customHeight="1" thickTop="1" thickBot="1" x14ac:dyDescent="0.4">
      <c r="A141" s="35">
        <v>45</v>
      </c>
      <c r="B141" s="36">
        <v>45932</v>
      </c>
      <c r="C141" s="35" t="s">
        <v>0</v>
      </c>
      <c r="D141" s="35"/>
      <c r="E141" s="51" t="s">
        <v>58</v>
      </c>
      <c r="F141" s="35" t="s">
        <v>45</v>
      </c>
      <c r="G141" s="35"/>
      <c r="H141" s="38" t="s">
        <v>46</v>
      </c>
      <c r="I141" s="35" t="s">
        <v>76</v>
      </c>
      <c r="J141" s="38" t="s">
        <v>57</v>
      </c>
      <c r="K141" s="38" t="s">
        <v>49</v>
      </c>
      <c r="L141" s="39"/>
      <c r="M141" s="40"/>
      <c r="N141" s="41"/>
      <c r="O141" s="42" t="s">
        <v>51</v>
      </c>
      <c r="P141" s="43">
        <v>180</v>
      </c>
      <c r="Q141" s="43"/>
      <c r="R141" s="43">
        <v>0</v>
      </c>
      <c r="S141" s="44">
        <v>38.5</v>
      </c>
      <c r="T141" s="43">
        <f>ROUNDUP($T140,0)+0.75</f>
        <v>7.75</v>
      </c>
      <c r="U141" s="43">
        <f>CEILING($U140,0.5)</f>
        <v>20.5</v>
      </c>
      <c r="V141" s="43">
        <f>T141*U141*(P141*1.4)/1550</f>
        <v>25.829999999999995</v>
      </c>
      <c r="W141" s="43">
        <f t="shared" si="88"/>
        <v>0.99445499999999987</v>
      </c>
      <c r="X141" s="46">
        <f t="shared" si="89"/>
        <v>0.77489999999999981</v>
      </c>
      <c r="Y141" s="43">
        <f t="shared" ref="Y141:Y142" si="115">S141*X141/1000</f>
        <v>2.9833649999999993E-2</v>
      </c>
      <c r="Z141" s="43">
        <f t="shared" ref="Z141:Z142" si="116">W141+Y141</f>
        <v>1.0242886499999999</v>
      </c>
      <c r="AA141" s="43">
        <v>6.8</v>
      </c>
      <c r="AB141" s="43">
        <f t="shared" ref="AB141:AB142" si="117">(V141+X141)*AA141/1000</f>
        <v>0.18091331999999993</v>
      </c>
      <c r="AC141" s="43">
        <f t="shared" si="84"/>
        <v>0.16666666666666666</v>
      </c>
      <c r="AD141" s="47">
        <v>0</v>
      </c>
      <c r="AE141" s="47">
        <v>0</v>
      </c>
      <c r="AF141" s="43">
        <f t="shared" si="50"/>
        <v>0.34757998666666656</v>
      </c>
      <c r="AG141" s="47">
        <v>0</v>
      </c>
      <c r="AH141" s="48">
        <f t="shared" si="51"/>
        <v>0.13718686366666666</v>
      </c>
      <c r="AI141" s="47">
        <v>0</v>
      </c>
      <c r="AJ141" s="49">
        <f t="shared" si="52"/>
        <v>1.5090555003333332</v>
      </c>
      <c r="AK141" s="50"/>
    </row>
    <row r="142" spans="1:37" ht="15" customHeight="1" thickTop="1" thickBot="1" x14ac:dyDescent="0.4">
      <c r="A142" s="35">
        <v>45</v>
      </c>
      <c r="B142" s="36">
        <v>45932</v>
      </c>
      <c r="C142" s="35" t="s">
        <v>0</v>
      </c>
      <c r="D142" s="35"/>
      <c r="E142" s="51" t="s">
        <v>58</v>
      </c>
      <c r="F142" s="35" t="s">
        <v>45</v>
      </c>
      <c r="G142" s="35"/>
      <c r="H142" s="38" t="s">
        <v>46</v>
      </c>
      <c r="I142" s="35" t="s">
        <v>76</v>
      </c>
      <c r="J142" s="38" t="s">
        <v>57</v>
      </c>
      <c r="K142" s="38" t="s">
        <v>49</v>
      </c>
      <c r="L142" s="39"/>
      <c r="M142" s="40"/>
      <c r="N142" s="41"/>
      <c r="O142" s="42" t="s">
        <v>50</v>
      </c>
      <c r="P142" s="43">
        <v>230</v>
      </c>
      <c r="Q142" s="43"/>
      <c r="R142" s="43">
        <v>0</v>
      </c>
      <c r="S142" s="44">
        <v>44</v>
      </c>
      <c r="T142" s="43">
        <f>T141</f>
        <v>7.75</v>
      </c>
      <c r="U142" s="43">
        <f>U141</f>
        <v>20.5</v>
      </c>
      <c r="V142" s="43">
        <f>T142*U142*P142/1550</f>
        <v>23.574999999999999</v>
      </c>
      <c r="W142" s="43">
        <f t="shared" si="88"/>
        <v>1.0372999999999999</v>
      </c>
      <c r="X142" s="46">
        <f t="shared" si="89"/>
        <v>0.70724999999999993</v>
      </c>
      <c r="Y142" s="43">
        <f t="shared" si="115"/>
        <v>3.1118999999999997E-2</v>
      </c>
      <c r="Z142" s="43">
        <f t="shared" si="116"/>
        <v>1.0684189999999998</v>
      </c>
      <c r="AA142" s="43">
        <v>6.8</v>
      </c>
      <c r="AB142" s="43">
        <f t="shared" si="117"/>
        <v>0.16511929999999997</v>
      </c>
      <c r="AC142" s="43">
        <f t="shared" si="84"/>
        <v>0.16666666666666666</v>
      </c>
      <c r="AD142" s="47">
        <v>0</v>
      </c>
      <c r="AE142" s="47">
        <v>0</v>
      </c>
      <c r="AF142" s="43">
        <f t="shared" si="50"/>
        <v>0.3317859666666666</v>
      </c>
      <c r="AG142" s="47">
        <v>0</v>
      </c>
      <c r="AH142" s="48">
        <f t="shared" si="51"/>
        <v>0.14002049666666663</v>
      </c>
      <c r="AI142" s="47">
        <v>0</v>
      </c>
      <c r="AJ142" s="49">
        <f t="shared" si="52"/>
        <v>1.540225463333333</v>
      </c>
      <c r="AK142" s="50"/>
    </row>
    <row r="143" spans="1:37" ht="15" customHeight="1" thickTop="1" thickBot="1" x14ac:dyDescent="0.4">
      <c r="A143" s="35">
        <v>46</v>
      </c>
      <c r="B143" s="36">
        <v>45932</v>
      </c>
      <c r="C143" s="35" t="s">
        <v>0</v>
      </c>
      <c r="D143" s="35"/>
      <c r="E143" s="51" t="s">
        <v>59</v>
      </c>
      <c r="F143" s="35" t="s">
        <v>45</v>
      </c>
      <c r="G143" s="35"/>
      <c r="H143" s="38" t="s">
        <v>55</v>
      </c>
      <c r="I143" s="35" t="s">
        <v>76</v>
      </c>
      <c r="J143" s="38" t="s">
        <v>57</v>
      </c>
      <c r="K143" s="38" t="s">
        <v>49</v>
      </c>
      <c r="L143" s="39">
        <v>100</v>
      </c>
      <c r="M143" s="40">
        <v>100</v>
      </c>
      <c r="N143" s="41">
        <v>100</v>
      </c>
      <c r="O143" s="42" t="s">
        <v>50</v>
      </c>
      <c r="P143" s="43">
        <v>230</v>
      </c>
      <c r="Q143" s="43"/>
      <c r="R143" s="43">
        <v>0</v>
      </c>
      <c r="S143" s="44">
        <v>44</v>
      </c>
      <c r="T143" s="45">
        <f>((M143/2)+N143+10)/25.4</f>
        <v>6.2992125984251972</v>
      </c>
      <c r="U143" s="45">
        <f>((L143+M143+L143+M143+55+55)/25.4)</f>
        <v>20.078740157480315</v>
      </c>
      <c r="V143" s="43">
        <f>T144*U144*P143/1550</f>
        <v>23.574999999999999</v>
      </c>
      <c r="W143" s="43">
        <f t="shared" si="88"/>
        <v>1.0372999999999999</v>
      </c>
      <c r="X143" s="46">
        <f t="shared" si="89"/>
        <v>0.70724999999999993</v>
      </c>
      <c r="Y143" s="43">
        <f>S143*X143/1000</f>
        <v>3.1118999999999997E-2</v>
      </c>
      <c r="Z143" s="43">
        <f>W143+Y143</f>
        <v>1.0684189999999998</v>
      </c>
      <c r="AA143" s="43">
        <v>6.8</v>
      </c>
      <c r="AB143" s="43">
        <f>(V143+X143)*AA143/1000</f>
        <v>0.16511929999999997</v>
      </c>
      <c r="AC143" s="43">
        <f t="shared" si="84"/>
        <v>0.16666666666666666</v>
      </c>
      <c r="AD143" s="47">
        <v>0</v>
      </c>
      <c r="AE143" s="47">
        <v>0</v>
      </c>
      <c r="AF143" s="43">
        <f t="shared" si="50"/>
        <v>0.3317859666666666</v>
      </c>
      <c r="AG143" s="47">
        <v>0</v>
      </c>
      <c r="AH143" s="48">
        <f t="shared" si="51"/>
        <v>0.14002049666666663</v>
      </c>
      <c r="AI143" s="47">
        <v>0</v>
      </c>
      <c r="AJ143" s="49">
        <f t="shared" si="52"/>
        <v>1.540225463333333</v>
      </c>
      <c r="AK143" s="50">
        <f t="shared" si="114"/>
        <v>7.2721207239999988</v>
      </c>
    </row>
    <row r="144" spans="1:37" ht="15" customHeight="1" thickTop="1" thickBot="1" x14ac:dyDescent="0.4">
      <c r="A144" s="35">
        <v>46</v>
      </c>
      <c r="B144" s="36">
        <v>45932</v>
      </c>
      <c r="C144" s="35" t="s">
        <v>0</v>
      </c>
      <c r="D144" s="35"/>
      <c r="E144" s="51" t="s">
        <v>59</v>
      </c>
      <c r="F144" s="35" t="s">
        <v>45</v>
      </c>
      <c r="G144" s="35"/>
      <c r="H144" s="38" t="s">
        <v>55</v>
      </c>
      <c r="I144" s="35" t="s">
        <v>76</v>
      </c>
      <c r="J144" s="38" t="s">
        <v>57</v>
      </c>
      <c r="K144" s="38" t="s">
        <v>49</v>
      </c>
      <c r="L144" s="39"/>
      <c r="M144" s="40"/>
      <c r="N144" s="41"/>
      <c r="O144" s="42" t="s">
        <v>51</v>
      </c>
      <c r="P144" s="43">
        <v>180</v>
      </c>
      <c r="Q144" s="43"/>
      <c r="R144" s="43">
        <v>0</v>
      </c>
      <c r="S144" s="44">
        <v>38.5</v>
      </c>
      <c r="T144" s="43">
        <f>ROUNDUP($T143,0)+0.75</f>
        <v>7.75</v>
      </c>
      <c r="U144" s="43">
        <f>CEILING($U143,0.5)</f>
        <v>20.5</v>
      </c>
      <c r="V144" s="43">
        <f>T144*U144*(P144*1.4)*2/1550</f>
        <v>51.659999999999989</v>
      </c>
      <c r="W144" s="43">
        <f t="shared" si="88"/>
        <v>1.9889099999999997</v>
      </c>
      <c r="X144" s="46">
        <f t="shared" si="89"/>
        <v>1.5497999999999996</v>
      </c>
      <c r="Y144" s="43">
        <f t="shared" ref="Y144:Y145" si="118">S144*X144/1000</f>
        <v>5.9667299999999986E-2</v>
      </c>
      <c r="Z144" s="43">
        <f t="shared" ref="Z144:Z145" si="119">W144+Y144</f>
        <v>2.0485772999999998</v>
      </c>
      <c r="AA144" s="43">
        <v>6.8</v>
      </c>
      <c r="AB144" s="43">
        <f t="shared" ref="AB144:AB145" si="120">(V144+X144)*AA144/1000</f>
        <v>0.36182663999999987</v>
      </c>
      <c r="AC144" s="43">
        <f t="shared" si="84"/>
        <v>0.16666666666666666</v>
      </c>
      <c r="AD144" s="47">
        <v>0</v>
      </c>
      <c r="AE144" s="47">
        <v>0</v>
      </c>
      <c r="AF144" s="43">
        <f t="shared" ref="AF144:AF158" si="121">AB144+AC144+AD144+AE144</f>
        <v>0.5284933066666665</v>
      </c>
      <c r="AG144" s="47">
        <v>0</v>
      </c>
      <c r="AH144" s="48">
        <f t="shared" ref="AH144:AH158" si="122">(Z144+AF144+AG144)*10%</f>
        <v>0.25770706066666665</v>
      </c>
      <c r="AI144" s="47">
        <v>0</v>
      </c>
      <c r="AJ144" s="49">
        <f t="shared" ref="AJ144:AJ158" si="123">Z144+AF144+AG144+AH144-AI144</f>
        <v>2.8347776673333329</v>
      </c>
      <c r="AK144" s="50"/>
    </row>
    <row r="145" spans="1:37" ht="15" customHeight="1" thickTop="1" thickBot="1" x14ac:dyDescent="0.4">
      <c r="A145" s="35">
        <v>46</v>
      </c>
      <c r="B145" s="36">
        <v>45932</v>
      </c>
      <c r="C145" s="35" t="s">
        <v>0</v>
      </c>
      <c r="D145" s="35"/>
      <c r="E145" s="51" t="s">
        <v>59</v>
      </c>
      <c r="F145" s="35" t="s">
        <v>45</v>
      </c>
      <c r="G145" s="35"/>
      <c r="H145" s="38" t="s">
        <v>55</v>
      </c>
      <c r="I145" s="35" t="s">
        <v>76</v>
      </c>
      <c r="J145" s="38" t="s">
        <v>57</v>
      </c>
      <c r="K145" s="38" t="s">
        <v>49</v>
      </c>
      <c r="L145" s="39"/>
      <c r="M145" s="40"/>
      <c r="N145" s="41"/>
      <c r="O145" s="42" t="s">
        <v>50</v>
      </c>
      <c r="P145" s="43">
        <v>230</v>
      </c>
      <c r="Q145" s="43"/>
      <c r="R145" s="43">
        <v>0</v>
      </c>
      <c r="S145" s="44">
        <v>44</v>
      </c>
      <c r="T145" s="43">
        <f>T144</f>
        <v>7.75</v>
      </c>
      <c r="U145" s="43">
        <f>U144</f>
        <v>20.5</v>
      </c>
      <c r="V145" s="43">
        <f>T145*U145*P145*2/1550</f>
        <v>47.15</v>
      </c>
      <c r="W145" s="43">
        <f t="shared" si="88"/>
        <v>2.0745999999999998</v>
      </c>
      <c r="X145" s="46">
        <f t="shared" si="89"/>
        <v>1.4144999999999999</v>
      </c>
      <c r="Y145" s="43">
        <f t="shared" si="118"/>
        <v>6.2237999999999995E-2</v>
      </c>
      <c r="Z145" s="43">
        <f t="shared" si="119"/>
        <v>2.1368379999999996</v>
      </c>
      <c r="AA145" s="43">
        <v>6.8</v>
      </c>
      <c r="AB145" s="43">
        <f t="shared" si="120"/>
        <v>0.33023859999999994</v>
      </c>
      <c r="AC145" s="43">
        <f t="shared" si="84"/>
        <v>0.16666666666666666</v>
      </c>
      <c r="AD145" s="47">
        <v>0</v>
      </c>
      <c r="AE145" s="47">
        <v>0</v>
      </c>
      <c r="AF145" s="43">
        <f t="shared" si="121"/>
        <v>0.49690526666666657</v>
      </c>
      <c r="AG145" s="47">
        <v>0</v>
      </c>
      <c r="AH145" s="48">
        <f t="shared" si="122"/>
        <v>0.2633743266666666</v>
      </c>
      <c r="AI145" s="47">
        <v>0</v>
      </c>
      <c r="AJ145" s="49">
        <f t="shared" si="123"/>
        <v>2.8971175933333324</v>
      </c>
      <c r="AK145" s="50"/>
    </row>
    <row r="146" spans="1:37" ht="15" customHeight="1" thickTop="1" x14ac:dyDescent="0.35">
      <c r="A146" s="35">
        <v>47</v>
      </c>
      <c r="B146" s="36">
        <v>45932</v>
      </c>
      <c r="C146" s="35" t="s">
        <v>0</v>
      </c>
      <c r="D146" s="35"/>
      <c r="E146" s="37" t="s">
        <v>69</v>
      </c>
      <c r="F146" s="35" t="s">
        <v>45</v>
      </c>
      <c r="G146" s="35"/>
      <c r="H146" s="35" t="s">
        <v>70</v>
      </c>
      <c r="I146" s="35" t="s">
        <v>106</v>
      </c>
      <c r="J146" s="35"/>
      <c r="K146" s="35" t="s">
        <v>72</v>
      </c>
      <c r="L146" s="74">
        <v>100</v>
      </c>
      <c r="M146" s="75">
        <v>100</v>
      </c>
      <c r="N146" s="76"/>
      <c r="O146" s="42" t="s">
        <v>51</v>
      </c>
      <c r="P146" s="77">
        <v>150</v>
      </c>
      <c r="Q146" s="43"/>
      <c r="R146" s="43">
        <v>0</v>
      </c>
      <c r="S146" s="44">
        <v>38.5</v>
      </c>
      <c r="T146" s="45">
        <f>(M146+15)/25.4</f>
        <v>4.5275590551181102</v>
      </c>
      <c r="U146" s="45">
        <f>(L146+15)/25.4</f>
        <v>4.5275590551181102</v>
      </c>
      <c r="V146" s="43">
        <f>T147*U147*P146/1550</f>
        <v>2.782258064516129</v>
      </c>
      <c r="W146" s="43">
        <f t="shared" si="88"/>
        <v>0.10711693548387097</v>
      </c>
      <c r="X146" s="78">
        <f t="shared" si="89"/>
        <v>8.3467741935483869E-2</v>
      </c>
      <c r="Y146" s="43">
        <f>S146*X146/1000</f>
        <v>3.2135080645161289E-3</v>
      </c>
      <c r="Z146" s="43">
        <f>W146+Y146</f>
        <v>0.1103304435483871</v>
      </c>
      <c r="AA146" s="43">
        <v>6.8</v>
      </c>
      <c r="AB146" s="43">
        <f>(V146+X146)*AA146/1000</f>
        <v>1.9486935483870968E-2</v>
      </c>
      <c r="AC146" s="43">
        <f>0.5/2</f>
        <v>0.25</v>
      </c>
      <c r="AD146" s="47">
        <v>0</v>
      </c>
      <c r="AE146" s="47">
        <v>0</v>
      </c>
      <c r="AF146" s="43">
        <f t="shared" si="121"/>
        <v>0.26948693548387098</v>
      </c>
      <c r="AG146" s="47">
        <v>0</v>
      </c>
      <c r="AH146" s="48">
        <f t="shared" si="122"/>
        <v>3.7981737903225815E-2</v>
      </c>
      <c r="AI146" s="47">
        <v>0</v>
      </c>
      <c r="AJ146" s="49">
        <f t="shared" si="123"/>
        <v>0.41779911693548388</v>
      </c>
      <c r="AK146" s="50">
        <f>AJ146+AJ147+AJ148</f>
        <v>0.89271788064516122</v>
      </c>
    </row>
    <row r="147" spans="1:37" ht="15" customHeight="1" x14ac:dyDescent="0.35">
      <c r="A147" s="35">
        <v>47</v>
      </c>
      <c r="B147" s="36">
        <v>45932</v>
      </c>
      <c r="C147" s="35" t="s">
        <v>0</v>
      </c>
      <c r="D147" s="35"/>
      <c r="E147" s="37" t="s">
        <v>69</v>
      </c>
      <c r="F147" s="35" t="s">
        <v>45</v>
      </c>
      <c r="G147" s="35"/>
      <c r="H147" s="35" t="s">
        <v>70</v>
      </c>
      <c r="I147" s="35" t="s">
        <v>106</v>
      </c>
      <c r="J147" s="35"/>
      <c r="K147" s="35" t="s">
        <v>72</v>
      </c>
      <c r="L147" s="79"/>
      <c r="M147" s="80"/>
      <c r="N147" s="81"/>
      <c r="O147" s="42" t="s">
        <v>51</v>
      </c>
      <c r="P147" s="77">
        <v>150</v>
      </c>
      <c r="Q147" s="43"/>
      <c r="R147" s="43">
        <v>0</v>
      </c>
      <c r="S147" s="44">
        <v>38.5</v>
      </c>
      <c r="T147" s="43">
        <f>ROUNDUP($T146,0)+0.75</f>
        <v>5.75</v>
      </c>
      <c r="U147" s="43">
        <f>CEILING($U146,0.5)</f>
        <v>5</v>
      </c>
      <c r="V147" s="43">
        <f>T147*U147*P147*1.4/1550</f>
        <v>3.8951612903225805</v>
      </c>
      <c r="W147" s="43">
        <f t="shared" si="88"/>
        <v>0.14996370967741937</v>
      </c>
      <c r="X147" s="78">
        <f t="shared" si="89"/>
        <v>0.11685483870967742</v>
      </c>
      <c r="Y147" s="43">
        <f>S147*X147/1000</f>
        <v>4.4989112903225806E-3</v>
      </c>
      <c r="Z147" s="43">
        <f>W147+Y147</f>
        <v>0.15446262096774196</v>
      </c>
      <c r="AA147" s="43">
        <v>6.8</v>
      </c>
      <c r="AB147" s="43">
        <f>(V147+X147)*AA147/1000</f>
        <v>2.7281709677419354E-2</v>
      </c>
      <c r="AC147" s="43">
        <f>0.5/2</f>
        <v>0.25</v>
      </c>
      <c r="AD147" s="47">
        <v>0</v>
      </c>
      <c r="AE147" s="47">
        <v>0</v>
      </c>
      <c r="AF147" s="43">
        <f t="shared" si="121"/>
        <v>0.27728170967741933</v>
      </c>
      <c r="AG147" s="47">
        <v>0</v>
      </c>
      <c r="AH147" s="48">
        <f t="shared" si="122"/>
        <v>4.3174433064516127E-2</v>
      </c>
      <c r="AI147" s="47">
        <v>0</v>
      </c>
      <c r="AJ147" s="49">
        <f t="shared" si="123"/>
        <v>0.47491876370967739</v>
      </c>
      <c r="AK147" s="50"/>
    </row>
    <row r="148" spans="1:37" ht="15" customHeight="1" thickBot="1" x14ac:dyDescent="0.4">
      <c r="A148" s="35">
        <v>47</v>
      </c>
      <c r="B148" s="36">
        <v>45932</v>
      </c>
      <c r="C148" s="35" t="s">
        <v>0</v>
      </c>
      <c r="D148" s="35"/>
      <c r="E148" s="37" t="s">
        <v>69</v>
      </c>
      <c r="F148" s="35" t="s">
        <v>45</v>
      </c>
      <c r="G148" s="35"/>
      <c r="H148" s="35" t="s">
        <v>70</v>
      </c>
      <c r="I148" s="35" t="s">
        <v>106</v>
      </c>
      <c r="J148" s="35"/>
      <c r="K148" s="35" t="s">
        <v>72</v>
      </c>
      <c r="L148" s="82"/>
      <c r="M148" s="83"/>
      <c r="N148" s="84"/>
      <c r="O148" s="42"/>
      <c r="P148" s="77"/>
      <c r="Q148" s="43"/>
      <c r="R148" s="43"/>
      <c r="S148" s="85">
        <v>0</v>
      </c>
      <c r="T148" s="86">
        <v>0</v>
      </c>
      <c r="U148" s="86">
        <v>0</v>
      </c>
      <c r="V148" s="86">
        <v>0</v>
      </c>
      <c r="W148" s="86">
        <v>0</v>
      </c>
      <c r="X148" s="86">
        <v>0</v>
      </c>
      <c r="Y148" s="86">
        <v>0</v>
      </c>
      <c r="Z148" s="86">
        <v>0</v>
      </c>
      <c r="AA148" s="86">
        <v>0</v>
      </c>
      <c r="AB148" s="86">
        <v>0</v>
      </c>
      <c r="AC148" s="86">
        <v>0</v>
      </c>
      <c r="AD148" s="87">
        <v>0</v>
      </c>
      <c r="AE148" s="87">
        <v>0</v>
      </c>
      <c r="AF148" s="87">
        <f t="shared" si="121"/>
        <v>0</v>
      </c>
      <c r="AG148" s="87">
        <v>0</v>
      </c>
      <c r="AH148" s="87">
        <f t="shared" si="122"/>
        <v>0</v>
      </c>
      <c r="AI148" s="87">
        <v>0</v>
      </c>
      <c r="AJ148" s="49">
        <f t="shared" si="123"/>
        <v>0</v>
      </c>
      <c r="AK148" s="50"/>
    </row>
    <row r="149" spans="1:37" ht="15" customHeight="1" thickTop="1" x14ac:dyDescent="0.35">
      <c r="A149" s="35">
        <v>48</v>
      </c>
      <c r="B149" s="36">
        <v>45932</v>
      </c>
      <c r="C149" s="35" t="s">
        <v>0</v>
      </c>
      <c r="D149" s="70"/>
      <c r="E149" s="37" t="s">
        <v>73</v>
      </c>
      <c r="F149" s="70" t="s">
        <v>61</v>
      </c>
      <c r="G149" s="70" t="s">
        <v>62</v>
      </c>
      <c r="H149" s="70"/>
      <c r="I149" s="70"/>
      <c r="J149" s="70"/>
      <c r="K149" s="70"/>
      <c r="L149" s="74">
        <v>100</v>
      </c>
      <c r="M149" s="75">
        <v>100</v>
      </c>
      <c r="N149" s="76"/>
      <c r="O149" s="42" t="s">
        <v>50</v>
      </c>
      <c r="P149" s="43">
        <v>150</v>
      </c>
      <c r="Q149" s="43"/>
      <c r="R149" s="43">
        <v>0</v>
      </c>
      <c r="S149" s="44"/>
      <c r="T149" s="45"/>
      <c r="U149" s="45"/>
      <c r="V149" s="43"/>
      <c r="W149" s="43"/>
      <c r="X149" s="78"/>
      <c r="Y149" s="43"/>
      <c r="Z149" s="43"/>
      <c r="AA149" s="43"/>
      <c r="AB149" s="43"/>
      <c r="AC149" s="43"/>
      <c r="AD149" s="47"/>
      <c r="AE149" s="47"/>
      <c r="AF149" s="43"/>
      <c r="AG149" s="47"/>
      <c r="AH149" s="48"/>
      <c r="AI149" s="47"/>
      <c r="AJ149" s="49"/>
      <c r="AK149" s="71"/>
    </row>
    <row r="150" spans="1:37" ht="15" customHeight="1" x14ac:dyDescent="0.35">
      <c r="A150" s="35">
        <v>48</v>
      </c>
      <c r="B150" s="36">
        <v>45932</v>
      </c>
      <c r="C150" s="35" t="s">
        <v>0</v>
      </c>
      <c r="D150" s="70"/>
      <c r="E150" s="37" t="s">
        <v>73</v>
      </c>
      <c r="F150" s="70" t="s">
        <v>61</v>
      </c>
      <c r="G150" s="70" t="s">
        <v>62</v>
      </c>
      <c r="H150" s="70"/>
      <c r="I150" s="70"/>
      <c r="J150" s="70"/>
      <c r="K150" s="70"/>
      <c r="L150" s="79"/>
      <c r="M150" s="80"/>
      <c r="N150" s="81"/>
      <c r="O150" s="42" t="s">
        <v>51</v>
      </c>
      <c r="P150" s="43">
        <v>150</v>
      </c>
      <c r="Q150" s="43"/>
      <c r="R150" s="43">
        <v>0</v>
      </c>
      <c r="S150" s="44"/>
      <c r="T150" s="43"/>
      <c r="U150" s="43"/>
      <c r="V150" s="43"/>
      <c r="W150" s="43"/>
      <c r="X150" s="78"/>
      <c r="Y150" s="43"/>
      <c r="Z150" s="43"/>
      <c r="AA150" s="43"/>
      <c r="AB150" s="43"/>
      <c r="AC150" s="43"/>
      <c r="AD150" s="47"/>
      <c r="AE150" s="47"/>
      <c r="AF150" s="43"/>
      <c r="AG150" s="47"/>
      <c r="AH150" s="48"/>
      <c r="AI150" s="47"/>
      <c r="AJ150" s="49"/>
      <c r="AK150" s="71"/>
    </row>
    <row r="151" spans="1:37" ht="15" customHeight="1" thickBot="1" x14ac:dyDescent="0.4">
      <c r="A151" s="35">
        <v>48</v>
      </c>
      <c r="B151" s="36">
        <v>45932</v>
      </c>
      <c r="C151" s="35" t="s">
        <v>0</v>
      </c>
      <c r="D151" s="70"/>
      <c r="E151" s="37" t="s">
        <v>73</v>
      </c>
      <c r="F151" s="70" t="s">
        <v>61</v>
      </c>
      <c r="G151" s="70" t="s">
        <v>62</v>
      </c>
      <c r="H151" s="70"/>
      <c r="I151" s="70"/>
      <c r="J151" s="70"/>
      <c r="K151" s="70"/>
      <c r="L151" s="82"/>
      <c r="M151" s="83"/>
      <c r="N151" s="84"/>
      <c r="O151" s="42"/>
      <c r="P151" s="43"/>
      <c r="Q151" s="43"/>
      <c r="R151" s="43"/>
      <c r="S151" s="44"/>
      <c r="T151" s="43"/>
      <c r="U151" s="43"/>
      <c r="V151" s="43"/>
      <c r="W151" s="43"/>
      <c r="X151" s="78"/>
      <c r="Y151" s="43"/>
      <c r="Z151" s="43"/>
      <c r="AA151" s="43"/>
      <c r="AB151" s="43"/>
      <c r="AC151" s="43"/>
      <c r="AD151" s="47"/>
      <c r="AE151" s="47"/>
      <c r="AF151" s="43"/>
      <c r="AG151" s="47"/>
      <c r="AH151" s="48"/>
      <c r="AI151" s="47"/>
      <c r="AJ151" s="49"/>
      <c r="AK151" s="71"/>
    </row>
    <row r="152" spans="1:37" ht="15" customHeight="1" thickTop="1" thickBot="1" x14ac:dyDescent="0.4">
      <c r="A152" s="35">
        <v>49</v>
      </c>
      <c r="B152" s="36">
        <v>45932</v>
      </c>
      <c r="C152" s="35" t="s">
        <v>0</v>
      </c>
      <c r="D152" s="35"/>
      <c r="E152" s="51" t="s">
        <v>107</v>
      </c>
      <c r="F152" s="35" t="s">
        <v>45</v>
      </c>
      <c r="G152" s="35"/>
      <c r="H152" s="38" t="s">
        <v>46</v>
      </c>
      <c r="I152" s="38" t="s">
        <v>105</v>
      </c>
      <c r="J152" s="35"/>
      <c r="K152" s="35" t="s">
        <v>89</v>
      </c>
      <c r="L152" s="39">
        <v>100</v>
      </c>
      <c r="M152" s="40">
        <v>100</v>
      </c>
      <c r="N152" s="41">
        <v>100</v>
      </c>
      <c r="O152" s="42" t="s">
        <v>50</v>
      </c>
      <c r="P152" s="43">
        <v>230</v>
      </c>
      <c r="Q152" s="43"/>
      <c r="R152" s="43">
        <v>0</v>
      </c>
      <c r="S152" s="44">
        <v>44</v>
      </c>
      <c r="T152" s="45">
        <f>((N152+20)+(M152*70%+20))/25.4</f>
        <v>8.2677165354330722</v>
      </c>
      <c r="U152" s="45">
        <f>(((L152+M152)*2+55)+55)/25.4</f>
        <v>20.078740157480315</v>
      </c>
      <c r="V152" s="43">
        <f>T153*U153*P152/1550</f>
        <v>29.658870967741937</v>
      </c>
      <c r="W152" s="43">
        <f t="shared" ref="W152:W163" si="124">S152*V152/1000</f>
        <v>1.3049903225806452</v>
      </c>
      <c r="X152" s="46">
        <f t="shared" ref="X152:X163" si="125">V152*3%</f>
        <v>0.88976612903225805</v>
      </c>
      <c r="Y152" s="43">
        <f>S152*X152/1000</f>
        <v>3.9149709677419355E-2</v>
      </c>
      <c r="Z152" s="43">
        <f>W152+Y152</f>
        <v>1.3441400322580646</v>
      </c>
      <c r="AA152" s="43">
        <v>6.8</v>
      </c>
      <c r="AB152" s="43">
        <f>(V152+X152)*AA152/1000</f>
        <v>0.20773073225806452</v>
      </c>
      <c r="AC152" s="43">
        <f t="shared" ref="AC152:AC163" si="126">0.5/3</f>
        <v>0.16666666666666666</v>
      </c>
      <c r="AD152" s="47">
        <v>0</v>
      </c>
      <c r="AE152" s="47">
        <v>0</v>
      </c>
      <c r="AF152" s="43">
        <f t="shared" ref="AF152:AF163" si="127">AB152+AC152+AD152+AE152</f>
        <v>0.37439739892473117</v>
      </c>
      <c r="AG152" s="47">
        <v>0</v>
      </c>
      <c r="AH152" s="48">
        <f t="shared" ref="AH152:AH163" si="128">(Z152+AF152+AG152)*10%</f>
        <v>0.17185374311827958</v>
      </c>
      <c r="AI152" s="47">
        <v>0</v>
      </c>
      <c r="AJ152" s="49">
        <f t="shared" ref="AJ152:AJ163" si="129">Z152+AF152+AG152+AH152-AI152</f>
        <v>1.8903911743010753</v>
      </c>
      <c r="AK152" s="50">
        <f t="shared" si="114"/>
        <v>5.6319596984838709</v>
      </c>
    </row>
    <row r="153" spans="1:37" ht="15" customHeight="1" thickTop="1" thickBot="1" x14ac:dyDescent="0.4">
      <c r="A153" s="35">
        <v>49</v>
      </c>
      <c r="B153" s="36">
        <v>45932</v>
      </c>
      <c r="C153" s="35" t="s">
        <v>0</v>
      </c>
      <c r="D153" s="35"/>
      <c r="E153" s="51" t="s">
        <v>107</v>
      </c>
      <c r="F153" s="35" t="s">
        <v>45</v>
      </c>
      <c r="G153" s="35"/>
      <c r="H153" s="38" t="s">
        <v>46</v>
      </c>
      <c r="I153" s="38" t="s">
        <v>105</v>
      </c>
      <c r="J153" s="35"/>
      <c r="K153" s="35" t="s">
        <v>89</v>
      </c>
      <c r="L153" s="39"/>
      <c r="M153" s="40"/>
      <c r="N153" s="41"/>
      <c r="O153" s="42" t="s">
        <v>51</v>
      </c>
      <c r="P153" s="43">
        <v>180</v>
      </c>
      <c r="Q153" s="43"/>
      <c r="R153" s="43">
        <v>0</v>
      </c>
      <c r="S153" s="44">
        <v>38.5</v>
      </c>
      <c r="T153" s="43">
        <f>ROUNDUP($T152,0)+0.75</f>
        <v>9.75</v>
      </c>
      <c r="U153" s="43">
        <f>CEILING($U152,0.5)</f>
        <v>20.5</v>
      </c>
      <c r="V153" s="43">
        <f>T153*U153*P153*1.4/1550</f>
        <v>32.4958064516129</v>
      </c>
      <c r="W153" s="43">
        <f t="shared" si="124"/>
        <v>1.2510885483870966</v>
      </c>
      <c r="X153" s="46">
        <f t="shared" si="125"/>
        <v>0.974874193548387</v>
      </c>
      <c r="Y153" s="43">
        <f t="shared" ref="Y153:Y154" si="130">S153*X153/1000</f>
        <v>3.7532656451612904E-2</v>
      </c>
      <c r="Z153" s="43">
        <f t="shared" ref="Z153:Z154" si="131">W153+Y153</f>
        <v>1.2886212048387096</v>
      </c>
      <c r="AA153" s="43">
        <v>6.8</v>
      </c>
      <c r="AB153" s="43">
        <f t="shared" ref="AB153:AB154" si="132">(V153+X153)*AA153/1000</f>
        <v>0.22760062838709674</v>
      </c>
      <c r="AC153" s="43">
        <f t="shared" si="126"/>
        <v>0.16666666666666666</v>
      </c>
      <c r="AD153" s="47">
        <v>0</v>
      </c>
      <c r="AE153" s="47">
        <v>0</v>
      </c>
      <c r="AF153" s="43">
        <f t="shared" si="127"/>
        <v>0.3942672950537634</v>
      </c>
      <c r="AG153" s="47">
        <v>0</v>
      </c>
      <c r="AH153" s="48">
        <f t="shared" si="128"/>
        <v>0.16828884998924731</v>
      </c>
      <c r="AI153" s="47">
        <v>0</v>
      </c>
      <c r="AJ153" s="49">
        <f t="shared" si="129"/>
        <v>1.8511773498817203</v>
      </c>
      <c r="AK153" s="50"/>
    </row>
    <row r="154" spans="1:37" ht="15" customHeight="1" thickTop="1" thickBot="1" x14ac:dyDescent="0.4">
      <c r="A154" s="35">
        <v>49</v>
      </c>
      <c r="B154" s="36">
        <v>45932</v>
      </c>
      <c r="C154" s="35" t="s">
        <v>0</v>
      </c>
      <c r="D154" s="35"/>
      <c r="E154" s="51" t="s">
        <v>107</v>
      </c>
      <c r="F154" s="35" t="s">
        <v>45</v>
      </c>
      <c r="G154" s="35"/>
      <c r="H154" s="38" t="s">
        <v>46</v>
      </c>
      <c r="I154" s="38" t="s">
        <v>105</v>
      </c>
      <c r="J154" s="35"/>
      <c r="K154" s="35" t="s">
        <v>89</v>
      </c>
      <c r="L154" s="39"/>
      <c r="M154" s="40"/>
      <c r="N154" s="41"/>
      <c r="O154" s="42" t="s">
        <v>50</v>
      </c>
      <c r="P154" s="43">
        <v>230</v>
      </c>
      <c r="Q154" s="43"/>
      <c r="R154" s="43">
        <v>0</v>
      </c>
      <c r="S154" s="44">
        <v>44</v>
      </c>
      <c r="T154" s="43">
        <f>T153</f>
        <v>9.75</v>
      </c>
      <c r="U154" s="43">
        <f>U153</f>
        <v>20.5</v>
      </c>
      <c r="V154" s="43">
        <f>T154*U154*P154/1550</f>
        <v>29.658870967741937</v>
      </c>
      <c r="W154" s="43">
        <f t="shared" si="124"/>
        <v>1.3049903225806452</v>
      </c>
      <c r="X154" s="46">
        <f t="shared" si="125"/>
        <v>0.88976612903225805</v>
      </c>
      <c r="Y154" s="43">
        <f t="shared" si="130"/>
        <v>3.9149709677419355E-2</v>
      </c>
      <c r="Z154" s="43">
        <f t="shared" si="131"/>
        <v>1.3441400322580646</v>
      </c>
      <c r="AA154" s="43">
        <v>6.8</v>
      </c>
      <c r="AB154" s="43">
        <f t="shared" si="132"/>
        <v>0.20773073225806452</v>
      </c>
      <c r="AC154" s="43">
        <f t="shared" si="126"/>
        <v>0.16666666666666666</v>
      </c>
      <c r="AD154" s="47">
        <v>0</v>
      </c>
      <c r="AE154" s="47">
        <v>0</v>
      </c>
      <c r="AF154" s="43">
        <f t="shared" si="127"/>
        <v>0.37439739892473117</v>
      </c>
      <c r="AG154" s="47">
        <v>0</v>
      </c>
      <c r="AH154" s="48">
        <f t="shared" si="128"/>
        <v>0.17185374311827958</v>
      </c>
      <c r="AI154" s="47">
        <v>0</v>
      </c>
      <c r="AJ154" s="49">
        <f t="shared" si="129"/>
        <v>1.8903911743010753</v>
      </c>
      <c r="AK154" s="50"/>
    </row>
    <row r="155" spans="1:37" ht="15" customHeight="1" thickTop="1" thickBot="1" x14ac:dyDescent="0.4">
      <c r="A155" s="35">
        <v>50</v>
      </c>
      <c r="B155" s="36">
        <v>45932</v>
      </c>
      <c r="C155" s="35" t="s">
        <v>0</v>
      </c>
      <c r="D155" s="35"/>
      <c r="E155" s="51" t="s">
        <v>108</v>
      </c>
      <c r="F155" s="35" t="s">
        <v>45</v>
      </c>
      <c r="G155" s="35"/>
      <c r="H155" s="38" t="s">
        <v>55</v>
      </c>
      <c r="I155" s="38" t="s">
        <v>105</v>
      </c>
      <c r="J155" s="35"/>
      <c r="K155" s="35" t="s">
        <v>89</v>
      </c>
      <c r="L155" s="39">
        <v>100</v>
      </c>
      <c r="M155" s="40">
        <v>100</v>
      </c>
      <c r="N155" s="41">
        <v>100</v>
      </c>
      <c r="O155" s="42" t="s">
        <v>50</v>
      </c>
      <c r="P155" s="43">
        <v>230</v>
      </c>
      <c r="Q155" s="43"/>
      <c r="R155" s="43">
        <v>0</v>
      </c>
      <c r="S155" s="44">
        <v>44</v>
      </c>
      <c r="T155" s="45">
        <f>((N155+20)+(M155*70%+20))/25.4</f>
        <v>8.2677165354330722</v>
      </c>
      <c r="U155" s="45">
        <f>(((L155+M155)*2+55)+55)/25.4</f>
        <v>20.078740157480315</v>
      </c>
      <c r="V155" s="43">
        <f>T156*U156*P155/1550</f>
        <v>29.658870967741937</v>
      </c>
      <c r="W155" s="43">
        <f t="shared" si="124"/>
        <v>1.3049903225806452</v>
      </c>
      <c r="X155" s="46">
        <f t="shared" si="125"/>
        <v>0.88976612903225805</v>
      </c>
      <c r="Y155" s="43">
        <f>S155*X155/1000</f>
        <v>3.9149709677419355E-2</v>
      </c>
      <c r="Z155" s="43">
        <f>W155+Y155</f>
        <v>1.3441400322580646</v>
      </c>
      <c r="AA155" s="43">
        <v>6.8</v>
      </c>
      <c r="AB155" s="43">
        <f>(V155+X155)*AA155/1000</f>
        <v>0.20773073225806452</v>
      </c>
      <c r="AC155" s="43">
        <f t="shared" si="126"/>
        <v>0.16666666666666666</v>
      </c>
      <c r="AD155" s="47">
        <v>0</v>
      </c>
      <c r="AE155" s="47">
        <v>0</v>
      </c>
      <c r="AF155" s="43">
        <f t="shared" si="127"/>
        <v>0.37439739892473117</v>
      </c>
      <c r="AG155" s="47">
        <v>0</v>
      </c>
      <c r="AH155" s="48">
        <f t="shared" si="128"/>
        <v>0.17185374311827958</v>
      </c>
      <c r="AI155" s="47">
        <v>0</v>
      </c>
      <c r="AJ155" s="49">
        <f t="shared" si="129"/>
        <v>1.8903911743010753</v>
      </c>
      <c r="AK155" s="50">
        <f t="shared" si="114"/>
        <v>9.0068615560000005</v>
      </c>
    </row>
    <row r="156" spans="1:37" ht="15" customHeight="1" thickTop="1" thickBot="1" x14ac:dyDescent="0.4">
      <c r="A156" s="35">
        <v>50</v>
      </c>
      <c r="B156" s="36">
        <v>45932</v>
      </c>
      <c r="C156" s="35" t="s">
        <v>0</v>
      </c>
      <c r="D156" s="35"/>
      <c r="E156" s="51" t="s">
        <v>108</v>
      </c>
      <c r="F156" s="35" t="s">
        <v>45</v>
      </c>
      <c r="G156" s="35"/>
      <c r="H156" s="38" t="s">
        <v>55</v>
      </c>
      <c r="I156" s="38" t="s">
        <v>105</v>
      </c>
      <c r="J156" s="35"/>
      <c r="K156" s="35" t="s">
        <v>89</v>
      </c>
      <c r="L156" s="39"/>
      <c r="M156" s="40"/>
      <c r="N156" s="41"/>
      <c r="O156" s="42" t="s">
        <v>51</v>
      </c>
      <c r="P156" s="43">
        <v>180</v>
      </c>
      <c r="Q156" s="43"/>
      <c r="R156" s="43">
        <v>0</v>
      </c>
      <c r="S156" s="44">
        <v>38.5</v>
      </c>
      <c r="T156" s="43">
        <f>ROUNDUP($T155,0)+0.75</f>
        <v>9.75</v>
      </c>
      <c r="U156" s="43">
        <f>CEILING($U155,0.5)</f>
        <v>20.5</v>
      </c>
      <c r="V156" s="43">
        <f>T156*U156*P156*1.4*2/1550</f>
        <v>64.9916129032258</v>
      </c>
      <c r="W156" s="43">
        <f t="shared" si="124"/>
        <v>2.5021770967741932</v>
      </c>
      <c r="X156" s="46">
        <f t="shared" si="125"/>
        <v>1.949748387096774</v>
      </c>
      <c r="Y156" s="43">
        <f t="shared" ref="Y156:Y157" si="133">S156*X156/1000</f>
        <v>7.5065312903225809E-2</v>
      </c>
      <c r="Z156" s="43">
        <f t="shared" ref="Z156:Z157" si="134">W156+Y156</f>
        <v>2.5772424096774191</v>
      </c>
      <c r="AA156" s="43">
        <v>6.8</v>
      </c>
      <c r="AB156" s="43">
        <f t="shared" ref="AB156:AB157" si="135">(V156+X156)*AA156/1000</f>
        <v>0.45520125677419349</v>
      </c>
      <c r="AC156" s="43">
        <f t="shared" si="126"/>
        <v>0.16666666666666666</v>
      </c>
      <c r="AD156" s="47">
        <v>0</v>
      </c>
      <c r="AE156" s="47">
        <v>0</v>
      </c>
      <c r="AF156" s="43">
        <f t="shared" si="127"/>
        <v>0.62186792344086017</v>
      </c>
      <c r="AG156" s="47">
        <v>0</v>
      </c>
      <c r="AH156" s="48">
        <f t="shared" si="128"/>
        <v>0.31991103331182796</v>
      </c>
      <c r="AI156" s="47">
        <v>0</v>
      </c>
      <c r="AJ156" s="49">
        <f t="shared" si="129"/>
        <v>3.5190213664301071</v>
      </c>
      <c r="AK156" s="50"/>
    </row>
    <row r="157" spans="1:37" ht="15" customHeight="1" thickTop="1" thickBot="1" x14ac:dyDescent="0.4">
      <c r="A157" s="35">
        <v>50</v>
      </c>
      <c r="B157" s="36">
        <v>45932</v>
      </c>
      <c r="C157" s="35" t="s">
        <v>0</v>
      </c>
      <c r="D157" s="35"/>
      <c r="E157" s="51" t="s">
        <v>108</v>
      </c>
      <c r="F157" s="35" t="s">
        <v>45</v>
      </c>
      <c r="G157" s="35"/>
      <c r="H157" s="38" t="s">
        <v>55</v>
      </c>
      <c r="I157" s="38" t="s">
        <v>105</v>
      </c>
      <c r="J157" s="35"/>
      <c r="K157" s="35" t="s">
        <v>89</v>
      </c>
      <c r="L157" s="39"/>
      <c r="M157" s="40"/>
      <c r="N157" s="41"/>
      <c r="O157" s="42" t="s">
        <v>50</v>
      </c>
      <c r="P157" s="43">
        <v>230</v>
      </c>
      <c r="Q157" s="43"/>
      <c r="R157" s="43">
        <v>0</v>
      </c>
      <c r="S157" s="44">
        <v>44</v>
      </c>
      <c r="T157" s="43">
        <f>T156</f>
        <v>9.75</v>
      </c>
      <c r="U157" s="43">
        <f>U156</f>
        <v>20.5</v>
      </c>
      <c r="V157" s="43">
        <f>T157*U157*P157*2/1550</f>
        <v>59.317741935483873</v>
      </c>
      <c r="W157" s="43">
        <f t="shared" si="124"/>
        <v>2.6099806451612904</v>
      </c>
      <c r="X157" s="46">
        <f t="shared" si="125"/>
        <v>1.7795322580645161</v>
      </c>
      <c r="Y157" s="43">
        <f t="shared" si="133"/>
        <v>7.8299419354838709E-2</v>
      </c>
      <c r="Z157" s="43">
        <f t="shared" si="134"/>
        <v>2.6882800645161291</v>
      </c>
      <c r="AA157" s="43">
        <v>6.8</v>
      </c>
      <c r="AB157" s="43">
        <f t="shared" si="135"/>
        <v>0.41546146451612903</v>
      </c>
      <c r="AC157" s="43">
        <f t="shared" si="126"/>
        <v>0.16666666666666666</v>
      </c>
      <c r="AD157" s="47">
        <v>0</v>
      </c>
      <c r="AE157" s="47">
        <v>0</v>
      </c>
      <c r="AF157" s="43">
        <f t="shared" si="127"/>
        <v>0.58212813118279572</v>
      </c>
      <c r="AG157" s="47">
        <v>0</v>
      </c>
      <c r="AH157" s="48">
        <f t="shared" si="128"/>
        <v>0.3270408195698925</v>
      </c>
      <c r="AI157" s="47">
        <v>0</v>
      </c>
      <c r="AJ157" s="49">
        <f t="shared" si="129"/>
        <v>3.5974490152688174</v>
      </c>
      <c r="AK157" s="50"/>
    </row>
    <row r="158" spans="1:37" ht="15" customHeight="1" thickTop="1" thickBot="1" x14ac:dyDescent="0.4">
      <c r="A158" s="35">
        <v>51</v>
      </c>
      <c r="B158" s="36">
        <v>45932</v>
      </c>
      <c r="C158" s="35" t="s">
        <v>0</v>
      </c>
      <c r="D158" s="35"/>
      <c r="E158" s="51" t="s">
        <v>107</v>
      </c>
      <c r="F158" s="35" t="s">
        <v>45</v>
      </c>
      <c r="G158" s="35"/>
      <c r="H158" s="38" t="s">
        <v>46</v>
      </c>
      <c r="I158" s="35" t="s">
        <v>76</v>
      </c>
      <c r="J158" s="35"/>
      <c r="K158" s="35" t="s">
        <v>89</v>
      </c>
      <c r="L158" s="39">
        <v>100</v>
      </c>
      <c r="M158" s="40">
        <v>100</v>
      </c>
      <c r="N158" s="41">
        <v>100</v>
      </c>
      <c r="O158" s="42" t="s">
        <v>50</v>
      </c>
      <c r="P158" s="43">
        <v>230</v>
      </c>
      <c r="Q158" s="43"/>
      <c r="R158" s="43">
        <v>0</v>
      </c>
      <c r="S158" s="44">
        <v>44</v>
      </c>
      <c r="T158" s="45">
        <f>((N158+20)+(M158*70%+20))/25.4</f>
        <v>8.2677165354330722</v>
      </c>
      <c r="U158" s="45">
        <f>(((L158+M158)*2+55)+55)/25.4</f>
        <v>20.078740157480315</v>
      </c>
      <c r="V158" s="43">
        <f>T159*U159*P158/1550</f>
        <v>29.658870967741937</v>
      </c>
      <c r="W158" s="43">
        <f t="shared" si="124"/>
        <v>1.3049903225806452</v>
      </c>
      <c r="X158" s="46">
        <f t="shared" si="125"/>
        <v>0.88976612903225805</v>
      </c>
      <c r="Y158" s="43">
        <f>S158*X158/1000</f>
        <v>3.9149709677419355E-2</v>
      </c>
      <c r="Z158" s="43">
        <f>W158+Y158</f>
        <v>1.3441400322580646</v>
      </c>
      <c r="AA158" s="43">
        <v>6.8</v>
      </c>
      <c r="AB158" s="43">
        <f>(V158+X158)*AA158/1000</f>
        <v>0.20773073225806452</v>
      </c>
      <c r="AC158" s="43">
        <f t="shared" si="126"/>
        <v>0.16666666666666666</v>
      </c>
      <c r="AD158" s="47">
        <v>0</v>
      </c>
      <c r="AE158" s="47">
        <v>0</v>
      </c>
      <c r="AF158" s="43">
        <f t="shared" si="127"/>
        <v>0.37439739892473117</v>
      </c>
      <c r="AG158" s="47">
        <v>0</v>
      </c>
      <c r="AH158" s="48">
        <f t="shared" si="128"/>
        <v>0.17185374311827958</v>
      </c>
      <c r="AI158" s="47">
        <v>0</v>
      </c>
      <c r="AJ158" s="49">
        <f t="shared" si="129"/>
        <v>1.8903911743010753</v>
      </c>
      <c r="AK158" s="50">
        <f t="shared" si="114"/>
        <v>5.6319596984838709</v>
      </c>
    </row>
    <row r="159" spans="1:37" ht="15" customHeight="1" thickTop="1" thickBot="1" x14ac:dyDescent="0.4">
      <c r="A159" s="35">
        <v>51</v>
      </c>
      <c r="B159" s="36">
        <v>45932</v>
      </c>
      <c r="C159" s="35" t="s">
        <v>0</v>
      </c>
      <c r="D159" s="35"/>
      <c r="E159" s="51" t="s">
        <v>107</v>
      </c>
      <c r="F159" s="35" t="s">
        <v>45</v>
      </c>
      <c r="G159" s="35"/>
      <c r="H159" s="38" t="s">
        <v>46</v>
      </c>
      <c r="I159" s="35" t="s">
        <v>76</v>
      </c>
      <c r="J159" s="35"/>
      <c r="K159" s="35" t="s">
        <v>89</v>
      </c>
      <c r="L159" s="39"/>
      <c r="M159" s="40"/>
      <c r="N159" s="41"/>
      <c r="O159" s="42" t="s">
        <v>51</v>
      </c>
      <c r="P159" s="43">
        <v>180</v>
      </c>
      <c r="Q159" s="43"/>
      <c r="R159" s="43">
        <v>0</v>
      </c>
      <c r="S159" s="44">
        <v>38.5</v>
      </c>
      <c r="T159" s="43">
        <f>ROUNDUP($T158,0)+0.75</f>
        <v>9.75</v>
      </c>
      <c r="U159" s="43">
        <f>CEILING($U158,0.5)</f>
        <v>20.5</v>
      </c>
      <c r="V159" s="43">
        <f>T159*U159*P159*1.4/1550</f>
        <v>32.4958064516129</v>
      </c>
      <c r="W159" s="43">
        <f t="shared" si="124"/>
        <v>1.2510885483870966</v>
      </c>
      <c r="X159" s="46">
        <f t="shared" si="125"/>
        <v>0.974874193548387</v>
      </c>
      <c r="Y159" s="43">
        <f t="shared" ref="Y159:Y160" si="136">S159*X159/1000</f>
        <v>3.7532656451612904E-2</v>
      </c>
      <c r="Z159" s="43">
        <f t="shared" ref="Z159:Z160" si="137">W159+Y159</f>
        <v>1.2886212048387096</v>
      </c>
      <c r="AA159" s="43">
        <v>6.8</v>
      </c>
      <c r="AB159" s="43">
        <f t="shared" ref="AB159:AB160" si="138">(V159+X159)*AA159/1000</f>
        <v>0.22760062838709674</v>
      </c>
      <c r="AC159" s="43">
        <f t="shared" si="126"/>
        <v>0.16666666666666666</v>
      </c>
      <c r="AD159" s="47">
        <v>0</v>
      </c>
      <c r="AE159" s="47">
        <v>0</v>
      </c>
      <c r="AF159" s="43">
        <f t="shared" si="127"/>
        <v>0.3942672950537634</v>
      </c>
      <c r="AG159" s="47">
        <v>0</v>
      </c>
      <c r="AH159" s="48">
        <f t="shared" si="128"/>
        <v>0.16828884998924731</v>
      </c>
      <c r="AI159" s="47">
        <v>0</v>
      </c>
      <c r="AJ159" s="49">
        <f t="shared" si="129"/>
        <v>1.8511773498817203</v>
      </c>
      <c r="AK159" s="50"/>
    </row>
    <row r="160" spans="1:37" ht="15" customHeight="1" thickTop="1" thickBot="1" x14ac:dyDescent="0.4">
      <c r="A160" s="35">
        <v>51</v>
      </c>
      <c r="B160" s="36">
        <v>45932</v>
      </c>
      <c r="C160" s="35" t="s">
        <v>0</v>
      </c>
      <c r="D160" s="35"/>
      <c r="E160" s="51" t="s">
        <v>107</v>
      </c>
      <c r="F160" s="35" t="s">
        <v>45</v>
      </c>
      <c r="G160" s="35"/>
      <c r="H160" s="38" t="s">
        <v>46</v>
      </c>
      <c r="I160" s="35" t="s">
        <v>76</v>
      </c>
      <c r="J160" s="35"/>
      <c r="K160" s="35" t="s">
        <v>89</v>
      </c>
      <c r="L160" s="39"/>
      <c r="M160" s="40"/>
      <c r="N160" s="41"/>
      <c r="O160" s="42" t="s">
        <v>50</v>
      </c>
      <c r="P160" s="43">
        <v>230</v>
      </c>
      <c r="Q160" s="43"/>
      <c r="R160" s="43">
        <v>0</v>
      </c>
      <c r="S160" s="44">
        <v>44</v>
      </c>
      <c r="T160" s="43">
        <f>T159</f>
        <v>9.75</v>
      </c>
      <c r="U160" s="43">
        <f>U159</f>
        <v>20.5</v>
      </c>
      <c r="V160" s="43">
        <f>T160*U160*P160/1550</f>
        <v>29.658870967741937</v>
      </c>
      <c r="W160" s="43">
        <f t="shared" si="124"/>
        <v>1.3049903225806452</v>
      </c>
      <c r="X160" s="46">
        <f t="shared" si="125"/>
        <v>0.88976612903225805</v>
      </c>
      <c r="Y160" s="43">
        <f t="shared" si="136"/>
        <v>3.9149709677419355E-2</v>
      </c>
      <c r="Z160" s="43">
        <f t="shared" si="137"/>
        <v>1.3441400322580646</v>
      </c>
      <c r="AA160" s="43">
        <v>6.8</v>
      </c>
      <c r="AB160" s="43">
        <f t="shared" si="138"/>
        <v>0.20773073225806452</v>
      </c>
      <c r="AC160" s="43">
        <f t="shared" si="126"/>
        <v>0.16666666666666666</v>
      </c>
      <c r="AD160" s="47">
        <v>0</v>
      </c>
      <c r="AE160" s="47">
        <v>0</v>
      </c>
      <c r="AF160" s="43">
        <f t="shared" si="127"/>
        <v>0.37439739892473117</v>
      </c>
      <c r="AG160" s="47">
        <v>0</v>
      </c>
      <c r="AH160" s="48">
        <f t="shared" si="128"/>
        <v>0.17185374311827958</v>
      </c>
      <c r="AI160" s="47">
        <v>0</v>
      </c>
      <c r="AJ160" s="49">
        <f t="shared" si="129"/>
        <v>1.8903911743010753</v>
      </c>
      <c r="AK160" s="50"/>
    </row>
    <row r="161" spans="1:37" ht="15" customHeight="1" thickTop="1" thickBot="1" x14ac:dyDescent="0.4">
      <c r="A161" s="35">
        <v>52</v>
      </c>
      <c r="B161" s="36">
        <v>45932</v>
      </c>
      <c r="C161" s="35" t="s">
        <v>0</v>
      </c>
      <c r="D161" s="35"/>
      <c r="E161" s="51" t="s">
        <v>108</v>
      </c>
      <c r="F161" s="35" t="s">
        <v>45</v>
      </c>
      <c r="G161" s="35"/>
      <c r="H161" s="38" t="s">
        <v>55</v>
      </c>
      <c r="I161" s="35" t="s">
        <v>76</v>
      </c>
      <c r="J161" s="35"/>
      <c r="K161" s="35" t="s">
        <v>89</v>
      </c>
      <c r="L161" s="39">
        <v>100</v>
      </c>
      <c r="M161" s="40">
        <v>100</v>
      </c>
      <c r="N161" s="41">
        <v>100</v>
      </c>
      <c r="O161" s="42" t="s">
        <v>50</v>
      </c>
      <c r="P161" s="43">
        <v>230</v>
      </c>
      <c r="Q161" s="43"/>
      <c r="R161" s="43">
        <v>0</v>
      </c>
      <c r="S161" s="44">
        <v>44</v>
      </c>
      <c r="T161" s="45">
        <f>((N161+20)+(M161*70%+20))/25.4</f>
        <v>8.2677165354330722</v>
      </c>
      <c r="U161" s="45">
        <f>(((L161+M161)*2+55)+55)/25.4</f>
        <v>20.078740157480315</v>
      </c>
      <c r="V161" s="43">
        <f>T162*U162*P161/1550</f>
        <v>29.658870967741937</v>
      </c>
      <c r="W161" s="43">
        <f t="shared" si="124"/>
        <v>1.3049903225806452</v>
      </c>
      <c r="X161" s="46">
        <f t="shared" si="125"/>
        <v>0.88976612903225805</v>
      </c>
      <c r="Y161" s="43">
        <f>S161*X161/1000</f>
        <v>3.9149709677419355E-2</v>
      </c>
      <c r="Z161" s="43">
        <f>W161+Y161</f>
        <v>1.3441400322580646</v>
      </c>
      <c r="AA161" s="43">
        <v>6.8</v>
      </c>
      <c r="AB161" s="43">
        <f>(V161+X161)*AA161/1000</f>
        <v>0.20773073225806452</v>
      </c>
      <c r="AC161" s="43">
        <f t="shared" si="126"/>
        <v>0.16666666666666666</v>
      </c>
      <c r="AD161" s="47">
        <v>0</v>
      </c>
      <c r="AE161" s="47">
        <v>0</v>
      </c>
      <c r="AF161" s="43">
        <f t="shared" si="127"/>
        <v>0.37439739892473117</v>
      </c>
      <c r="AG161" s="47">
        <v>0</v>
      </c>
      <c r="AH161" s="48">
        <f t="shared" si="128"/>
        <v>0.17185374311827958</v>
      </c>
      <c r="AI161" s="47">
        <v>0</v>
      </c>
      <c r="AJ161" s="49">
        <f t="shared" si="129"/>
        <v>1.8903911743010753</v>
      </c>
      <c r="AK161" s="50">
        <f t="shared" si="114"/>
        <v>9.0068615560000005</v>
      </c>
    </row>
    <row r="162" spans="1:37" ht="15" customHeight="1" thickTop="1" thickBot="1" x14ac:dyDescent="0.4">
      <c r="A162" s="35">
        <v>52</v>
      </c>
      <c r="B162" s="36">
        <v>45932</v>
      </c>
      <c r="C162" s="35" t="s">
        <v>0</v>
      </c>
      <c r="D162" s="35"/>
      <c r="E162" s="51" t="s">
        <v>108</v>
      </c>
      <c r="F162" s="35" t="s">
        <v>45</v>
      </c>
      <c r="G162" s="35"/>
      <c r="H162" s="38" t="s">
        <v>55</v>
      </c>
      <c r="I162" s="35" t="s">
        <v>76</v>
      </c>
      <c r="J162" s="35"/>
      <c r="K162" s="35" t="s">
        <v>89</v>
      </c>
      <c r="L162" s="39"/>
      <c r="M162" s="40"/>
      <c r="N162" s="41"/>
      <c r="O162" s="42" t="s">
        <v>51</v>
      </c>
      <c r="P162" s="43">
        <v>180</v>
      </c>
      <c r="Q162" s="43"/>
      <c r="R162" s="43">
        <v>0</v>
      </c>
      <c r="S162" s="44">
        <v>38.5</v>
      </c>
      <c r="T162" s="43">
        <f>ROUNDUP($T161,0)+0.75</f>
        <v>9.75</v>
      </c>
      <c r="U162" s="43">
        <f>CEILING($U161,0.5)</f>
        <v>20.5</v>
      </c>
      <c r="V162" s="43">
        <f>T162*U162*P162*1.4*2/1550</f>
        <v>64.9916129032258</v>
      </c>
      <c r="W162" s="43">
        <f t="shared" si="124"/>
        <v>2.5021770967741932</v>
      </c>
      <c r="X162" s="46">
        <f t="shared" si="125"/>
        <v>1.949748387096774</v>
      </c>
      <c r="Y162" s="43">
        <f t="shared" ref="Y162:Y163" si="139">S162*X162/1000</f>
        <v>7.5065312903225809E-2</v>
      </c>
      <c r="Z162" s="43">
        <f t="shared" ref="Z162:Z163" si="140">W162+Y162</f>
        <v>2.5772424096774191</v>
      </c>
      <c r="AA162" s="43">
        <v>6.8</v>
      </c>
      <c r="AB162" s="43">
        <f t="shared" ref="AB162:AB163" si="141">(V162+X162)*AA162/1000</f>
        <v>0.45520125677419349</v>
      </c>
      <c r="AC162" s="43">
        <f t="shared" si="126"/>
        <v>0.16666666666666666</v>
      </c>
      <c r="AD162" s="47">
        <v>0</v>
      </c>
      <c r="AE162" s="47">
        <v>0</v>
      </c>
      <c r="AF162" s="43">
        <f t="shared" si="127"/>
        <v>0.62186792344086017</v>
      </c>
      <c r="AG162" s="47">
        <v>0</v>
      </c>
      <c r="AH162" s="48">
        <f t="shared" si="128"/>
        <v>0.31991103331182796</v>
      </c>
      <c r="AI162" s="47">
        <v>0</v>
      </c>
      <c r="AJ162" s="49">
        <f t="shared" si="129"/>
        <v>3.5190213664301071</v>
      </c>
      <c r="AK162" s="50"/>
    </row>
    <row r="163" spans="1:37" ht="15" customHeight="1" thickTop="1" thickBot="1" x14ac:dyDescent="0.4">
      <c r="A163" s="35">
        <v>52</v>
      </c>
      <c r="B163" s="36">
        <v>45932</v>
      </c>
      <c r="C163" s="35" t="s">
        <v>0</v>
      </c>
      <c r="D163" s="35"/>
      <c r="E163" s="51" t="s">
        <v>108</v>
      </c>
      <c r="F163" s="35" t="s">
        <v>45</v>
      </c>
      <c r="G163" s="35"/>
      <c r="H163" s="38" t="s">
        <v>55</v>
      </c>
      <c r="I163" s="35" t="s">
        <v>76</v>
      </c>
      <c r="J163" s="35"/>
      <c r="K163" s="35" t="s">
        <v>89</v>
      </c>
      <c r="L163" s="39"/>
      <c r="M163" s="40"/>
      <c r="N163" s="41"/>
      <c r="O163" s="42" t="s">
        <v>50</v>
      </c>
      <c r="P163" s="43">
        <v>230</v>
      </c>
      <c r="Q163" s="43"/>
      <c r="R163" s="43">
        <v>0</v>
      </c>
      <c r="S163" s="44">
        <v>44</v>
      </c>
      <c r="T163" s="43">
        <f>T162</f>
        <v>9.75</v>
      </c>
      <c r="U163" s="43">
        <f>U162</f>
        <v>20.5</v>
      </c>
      <c r="V163" s="43">
        <f>T163*U163*P163*2/1550</f>
        <v>59.317741935483873</v>
      </c>
      <c r="W163" s="43">
        <f t="shared" si="124"/>
        <v>2.6099806451612904</v>
      </c>
      <c r="X163" s="46">
        <f t="shared" si="125"/>
        <v>1.7795322580645161</v>
      </c>
      <c r="Y163" s="43">
        <f t="shared" si="139"/>
        <v>7.8299419354838709E-2</v>
      </c>
      <c r="Z163" s="43">
        <f t="shared" si="140"/>
        <v>2.6882800645161291</v>
      </c>
      <c r="AA163" s="43">
        <v>6.8</v>
      </c>
      <c r="AB163" s="43">
        <f t="shared" si="141"/>
        <v>0.41546146451612903</v>
      </c>
      <c r="AC163" s="43">
        <f t="shared" si="126"/>
        <v>0.16666666666666666</v>
      </c>
      <c r="AD163" s="47">
        <v>0</v>
      </c>
      <c r="AE163" s="47">
        <v>0</v>
      </c>
      <c r="AF163" s="43">
        <f t="shared" si="127"/>
        <v>0.58212813118279572</v>
      </c>
      <c r="AG163" s="47">
        <v>0</v>
      </c>
      <c r="AH163" s="48">
        <f t="shared" si="128"/>
        <v>0.3270408195698925</v>
      </c>
      <c r="AI163" s="47">
        <v>0</v>
      </c>
      <c r="AJ163" s="49">
        <f t="shared" si="129"/>
        <v>3.5974490152688174</v>
      </c>
      <c r="AK163" s="50"/>
    </row>
    <row r="164" spans="1:37" ht="15" thickTop="1" x14ac:dyDescent="0.35"/>
  </sheetData>
  <protectedRanges>
    <protectedRange sqref="J6:K8 H6:H8 J15:K23 H15:H23 J27:K32 H27:H32 J46:K51 H43:H51 H64:H72 J80:K85 J92:K103 H80:H109 J116:K127 H113:H127 J134:K145 H134:H145 H152:H163" name="Formulas"/>
    <protectedRange sqref="I6:I8 I15:I17 I27:I32" name="Formulas_4_1"/>
    <protectedRange sqref="J9:K14 H9:H14 J128:K133 H128:H133" name="Formulas_1"/>
    <protectedRange sqref="I128:I139 I152:I157 I9:I14 I18:I23" name="Formulas_4_1_1"/>
    <protectedRange sqref="D15:D17" name="Formulas_4_1_2"/>
    <protectedRange sqref="D89:D91" name="Formulas_4_1_3"/>
    <protectedRange sqref="E6:E8 E15:E17 E27:E32" name="Formulas_2"/>
    <protectedRange sqref="E9:E14" name="Formulas_2_3"/>
    <protectedRange sqref="E18:E23" name="Formulas_2_4"/>
    <protectedRange sqref="E46:E51" name="Formulas_2_1"/>
    <protectedRange sqref="E37:E39" name="Formulas_1_3_1"/>
    <protectedRange sqref="E43:E45 E52:E66" name="Formulas_1_5_1"/>
    <protectedRange sqref="E146:E148" name="Formulas_1_3_1_1"/>
    <protectedRange sqref="E128:E145" name="Formulas_2_5"/>
    <protectedRange sqref="E152:E163" name="Formulas_2_6_1"/>
    <protectedRange sqref="I104:I109" name="Formulas_4_1_4"/>
    <protectedRange sqref="L15:N15" name="Formulas_4"/>
    <protectedRange sqref="L43:M43" name="Formulas_3"/>
  </protectedRanges>
  <mergeCells count="12">
    <mergeCell ref="X4:Z4"/>
    <mergeCell ref="AA4:AE4"/>
    <mergeCell ref="AH4:AI4"/>
    <mergeCell ref="L5:N5"/>
    <mergeCell ref="T5:U5"/>
    <mergeCell ref="A1:D3"/>
    <mergeCell ref="E1:E3"/>
    <mergeCell ref="F1:L3"/>
    <mergeCell ref="M1:N3"/>
    <mergeCell ref="R1:U3"/>
    <mergeCell ref="A4:N4"/>
    <mergeCell ref="O4:W4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Kandlhofer Stephan</dc:creator>
  <cp:lastModifiedBy>Kandlhofer Stephan</cp:lastModifiedBy>
  <dcterms:created xsi:type="dcterms:W3CDTF">2026-01-29T10:34:18Z</dcterms:created>
  <dcterms:modified xsi:type="dcterms:W3CDTF">2026-01-29T10:34:47Z</dcterms:modified>
</cp:coreProperties>
</file>