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gif" ContentType="image/gif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name="SKE_SPMR_v5" sheetId="1" state="visible" r:id="rId1"/>
  </sheets>
  <definedNames>
    <definedName name="db" localSheetId="0" hidden="1">SKE_SPMR_v5!#REF!</definedName>
    <definedName name="_xlnm._FilterDatabase" localSheetId="0" hidden="1">'SKE_SPMR_v5'!$A$5:$AK$202</definedName>
  </definedNames>
  <calcPr calcId="191029" fullCalcOnLoad="1"/>
</workbook>
</file>

<file path=xl/styles.xml><?xml version="1.0" encoding="utf-8"?>
<styleSheet xmlns="http://schemas.openxmlformats.org/spreadsheetml/2006/main">
  <numFmts count="13">
    <numFmt numFmtId="164" formatCode="_-* #,##0.000_-;\-* #,##0.000_-;_-* &quot;-&quot;???_-;_-@_-"/>
    <numFmt numFmtId="165" formatCode="_-* #,##0_-;\-* #,##0_-;_-* &quot;-&quot;???_-;_-@_-"/>
    <numFmt numFmtId="166" formatCode="_-* #,##0.00_-;\-* #,##0.00_-;_-* &quot;-&quot;???_-;_-@_-"/>
    <numFmt numFmtId="167" formatCode="_-* #,##0.00_-;\-* #,##0.00_-;_-* &quot;-&quot;??_-;_-@_-"/>
    <numFmt numFmtId="168" formatCode="_-* #,##0_-;\-* #,##0_-;_-* &quot;-&quot;_-;_-@_-"/>
    <numFmt numFmtId="169" formatCode="0.000"/>
    <numFmt numFmtId="170" formatCode="_(* #,##0_);_(* \(#,##0\);_(* &quot;-&quot;??_);_(@_)"/>
    <numFmt numFmtId="171" formatCode="_(* #,##0.0_);_(* \(#,##0.0\);_(* &quot;-&quot;??_);_(@_)"/>
    <numFmt numFmtId="172" formatCode="_-* #,##0.0_-;\-* #,##0.0_-;_-* &quot;-&quot;_-;_-@_-"/>
    <numFmt numFmtId="173" formatCode="_-* #,##0.00_-;\-* #,##0.00_-;_-* &quot;-&quot;_-;_-@_-"/>
    <numFmt numFmtId="174" formatCode="_-* #,##0_-;\-* #,##0_-;_-* &quot;-&quot;??_-;_-@_-"/>
    <numFmt numFmtId="175" formatCode="_-* #,##0_-;\-* #,##0_-;_-* &quot;-&quot;_-;_-@"/>
    <numFmt numFmtId="176" formatCode="0.0%"/>
  </numFmts>
  <fonts count="18">
    <font>
      <name val="Aptos Narrow"/>
      <family val="2"/>
      <color theme="1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22"/>
      <scheme val="minor"/>
    </font>
    <font>
      <name val="Aptos Narrow"/>
      <family val="2"/>
      <sz val="11"/>
      <scheme val="minor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b val="1"/>
      <sz val="2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sz val="8"/>
      <scheme val="minor"/>
    </font>
    <font>
      <name val="Arial"/>
      <family val="2"/>
      <b val="1"/>
      <color theme="1"/>
      <sz val="8"/>
    </font>
    <font>
      <name val="Tahoma"/>
      <charset val="1"/>
      <color indexed="81"/>
      <sz val="9"/>
    </font>
  </fonts>
  <fills count="27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C7CE"/>
      </patternFill>
    </fill>
    <fill>
      <patternFill patternType="solid">
        <fgColor rgb="FFFFC000"/>
        <bgColor indexed="64"/>
      </patternFill>
    </fill>
    <fill>
      <patternFill patternType="solid">
        <fgColor rgb="FFFFCC99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A5A5A5"/>
        <bgColor rgb="FFA5A5A5"/>
      </patternFill>
    </fill>
    <fill>
      <patternFill patternType="solid">
        <fgColor theme="7" tint="0.5999938962981048"/>
        <bgColor indexed="64"/>
      </patternFill>
    </fill>
  </fills>
  <borders count="57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rgb="FF3F3F3F"/>
      </right>
      <top style="thin">
        <color indexed="64"/>
      </top>
      <bottom/>
      <diagonal/>
    </border>
    <border>
      <left style="thin">
        <color indexed="64"/>
      </left>
      <right style="double">
        <color rgb="FF3F3F3F"/>
      </right>
      <top/>
      <bottom/>
      <diagonal/>
    </border>
    <border>
      <left style="thin">
        <color indexed="64"/>
      </left>
      <right style="double">
        <color rgb="FF3F3F3F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 style="double">
        <color rgb="FF3F3F3F"/>
      </left>
      <right style="double">
        <color rgb="FF3F3F3F"/>
      </right>
      <top/>
      <bottom/>
      <diagonal/>
    </border>
    <border>
      <left style="double">
        <color rgb="FF3F3F3F"/>
      </left>
      <right style="double">
        <color rgb="FF3F3F3F"/>
      </right>
      <top/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/>
      <top style="double">
        <color rgb="FF3F3F3F"/>
      </top>
      <bottom/>
      <diagonal/>
    </border>
    <border>
      <left style="double">
        <color rgb="FF3F3F3F"/>
      </left>
      <right/>
      <top/>
      <bottom/>
      <diagonal/>
    </border>
    <border>
      <left style="double">
        <color rgb="FF3F3F3F"/>
      </left>
      <right/>
      <top/>
      <bottom style="double">
        <color rgb="FF3F3F3F"/>
      </bottom>
      <diagonal/>
    </border>
    <border>
      <left style="thin">
        <color rgb="FF7F7F7F"/>
      </left>
      <right/>
      <top/>
      <bottom/>
      <diagonal/>
    </border>
    <border>
      <left style="double">
        <color rgb="FF3F3F3F"/>
      </left>
      <right style="thin">
        <color indexed="64"/>
      </right>
      <top style="thin">
        <color indexed="64"/>
      </top>
      <bottom/>
      <diagonal/>
    </border>
    <border>
      <left style="double">
        <color rgb="FF3F3F3F"/>
      </left>
      <right style="thin">
        <color indexed="64"/>
      </right>
      <top/>
      <bottom/>
      <diagonal/>
    </border>
    <border>
      <left style="double">
        <color rgb="FF3F3F3F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rgb="FF3F3F3F"/>
      </right>
      <top/>
      <bottom/>
      <diagonal/>
    </border>
    <border>
      <left/>
      <right style="double">
        <color rgb="FF3F3F3F"/>
      </right>
      <top style="double">
        <color rgb="FF3F3F3F"/>
      </top>
      <bottom/>
      <diagonal/>
    </border>
    <border>
      <left style="double">
        <color rgb="FF3F3F3F"/>
      </left>
      <right style="double">
        <color rgb="FF3F3F3F"/>
      </right>
      <top style="thin">
        <color auto="1"/>
      </top>
      <bottom/>
      <diagonal/>
    </border>
    <border>
      <left/>
      <right style="double">
        <color rgb="FF3F3F3F"/>
      </right>
      <top/>
      <bottom style="double">
        <color rgb="FF3F3F3F"/>
      </bottom>
      <diagonal/>
    </border>
    <border>
      <left style="double">
        <color rgb="FF3F3F3F"/>
      </left>
      <right style="double">
        <color rgb="FF3F3F3F"/>
      </right>
      <top/>
      <bottom style="thin">
        <color rgb="FF7F7F7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double">
        <color rgb="FF3F3F3F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rgb="FF3F3F3F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thin">
        <color auto="1"/>
      </top>
      <bottom style="thin">
        <color rgb="FF7F7F7F"/>
      </bottom>
      <diagonal/>
    </border>
  </borders>
  <cellStyleXfs count="8">
    <xf numFmtId="0" fontId="9" fillId="0" borderId="0"/>
    <xf numFmtId="0" fontId="1" fillId="2" borderId="0"/>
    <xf numFmtId="0" fontId="2" fillId="3" borderId="0"/>
    <xf numFmtId="0" fontId="3" fillId="4" borderId="1"/>
    <xf numFmtId="43" fontId="9" fillId="0" borderId="0"/>
    <xf numFmtId="0" fontId="10" fillId="16" borderId="0"/>
    <xf numFmtId="9" fontId="9" fillId="0" borderId="0"/>
    <xf numFmtId="0" fontId="14" fillId="18" borderId="26"/>
  </cellStyleXfs>
  <cellXfs count="1033">
    <xf numFmtId="0" fontId="0" fillId="0" borderId="0" pivotButton="0" quotePrefix="0" xfId="0"/>
    <xf numFmtId="164" fontId="0" fillId="0" borderId="2" applyAlignment="1" applyProtection="1" pivotButton="0" quotePrefix="0" xfId="0">
      <alignment horizontal="center" wrapText="1"/>
      <protection locked="0" hidden="0"/>
    </xf>
    <xf numFmtId="165" fontId="0" fillId="0" borderId="0" applyAlignment="1" applyProtection="1" pivotButton="0" quotePrefix="0" xfId="0">
      <alignment horizontal="center" wrapText="1"/>
      <protection locked="0" hidden="0"/>
    </xf>
    <xf numFmtId="164" fontId="0" fillId="0" borderId="0" applyAlignment="1" applyProtection="1" pivotButton="0" quotePrefix="0" xfId="0">
      <alignment horizontal="center" wrapText="1"/>
      <protection locked="0" hidden="0"/>
    </xf>
    <xf numFmtId="164" fontId="0" fillId="0" borderId="0" applyAlignment="1" applyProtection="1" pivotButton="0" quotePrefix="0" xfId="0">
      <alignment vertical="center" wrapText="1"/>
      <protection locked="0" hidden="0"/>
    </xf>
    <xf numFmtId="0" fontId="0" fillId="0" borderId="0" applyAlignment="1" applyProtection="1" pivotButton="0" quotePrefix="0" xfId="0">
      <alignment horizontal="center" vertical="center" wrapText="1"/>
      <protection locked="0" hidden="0"/>
    </xf>
    <xf numFmtId="0" fontId="0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164" fontId="0" fillId="0" borderId="4" applyAlignment="1" applyProtection="1" pivotButton="0" quotePrefix="0" xfId="0">
      <alignment vertical="center" wrapText="1"/>
      <protection locked="0" hidden="0"/>
    </xf>
    <xf numFmtId="164" fontId="0" fillId="6" borderId="7" applyAlignment="1" applyProtection="1" pivotButton="0" quotePrefix="0" xfId="0">
      <alignment horizontal="center" vertical="center" wrapText="1"/>
      <protection locked="0" hidden="0"/>
    </xf>
    <xf numFmtId="164" fontId="0" fillId="10" borderId="9" applyAlignment="1" applyProtection="1" pivotButton="0" quotePrefix="0" xfId="0">
      <alignment horizontal="center" vertical="center" wrapText="1"/>
      <protection locked="0" hidden="0"/>
    </xf>
    <xf numFmtId="0" fontId="0" fillId="0" borderId="2" applyAlignment="1" applyProtection="1" pivotButton="0" quotePrefix="0" xfId="0">
      <alignment horizontal="center" vertical="center" wrapText="1"/>
      <protection locked="0" hidden="0"/>
    </xf>
    <xf numFmtId="164" fontId="0" fillId="0" borderId="2" applyAlignment="1" applyProtection="1" pivotButton="0" quotePrefix="0" xfId="0">
      <alignment horizontal="center" vertical="center" wrapText="1"/>
      <protection locked="0" hidden="0"/>
    </xf>
    <xf numFmtId="164" fontId="0" fillId="0" borderId="3" applyAlignment="1" applyProtection="1" pivotButton="0" quotePrefix="0" xfId="0">
      <alignment horizontal="center" vertical="center" wrapText="1"/>
      <protection locked="0" hidden="0"/>
    </xf>
    <xf numFmtId="164" fontId="0" fillId="0" borderId="8" applyAlignment="1" applyProtection="1" pivotButton="0" quotePrefix="0" xfId="0">
      <alignment horizontal="center" vertical="center" wrapText="1"/>
      <protection locked="0" hidden="0"/>
    </xf>
    <xf numFmtId="10" fontId="0" fillId="0" borderId="2" applyAlignment="1" applyProtection="1" pivotButton="0" quotePrefix="0" xfId="0">
      <alignment horizontal="center" vertical="center" wrapText="1"/>
      <protection locked="0" hidden="0"/>
    </xf>
    <xf numFmtId="164" fontId="0" fillId="0" borderId="2" applyAlignment="1" applyProtection="1" pivotButton="0" quotePrefix="0" xfId="0">
      <alignment horizontal="center" vertical="center" wrapText="1"/>
      <protection locked="1" hidden="1"/>
    </xf>
    <xf numFmtId="0" fontId="0" fillId="0" borderId="2" applyAlignment="1" applyProtection="1" pivotButton="0" quotePrefix="0" xfId="0">
      <alignment horizontal="center" vertical="center" wrapText="1"/>
      <protection locked="1" hidden="1"/>
    </xf>
    <xf numFmtId="0" fontId="0" fillId="11" borderId="2" applyAlignment="1" pivotButton="0" quotePrefix="0" xfId="0">
      <alignment horizontal="center" vertical="center" wrapText="1"/>
    </xf>
    <xf numFmtId="2" fontId="0" fillId="12" borderId="2" applyAlignment="1" applyProtection="1" pivotButton="0" quotePrefix="0" xfId="0">
      <alignment horizontal="center" vertical="center" wrapText="1"/>
      <protection locked="1" hidden="1"/>
    </xf>
    <xf numFmtId="2" fontId="0" fillId="0" borderId="2" applyAlignment="1" applyProtection="1" pivotButton="0" quotePrefix="0" xfId="0">
      <alignment horizontal="center" vertical="center" wrapText="1"/>
      <protection locked="1" hidden="1"/>
    </xf>
    <xf numFmtId="2" fontId="4" fillId="0" borderId="2" applyAlignment="1" applyProtection="1" pivotButton="0" quotePrefix="0" xfId="0">
      <alignment horizontal="center" vertical="center" wrapText="1"/>
      <protection locked="1" hidden="1"/>
    </xf>
    <xf numFmtId="164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2" fontId="0" fillId="12" borderId="2" applyAlignment="1" pivotButton="0" quotePrefix="0" xfId="0">
      <alignment horizontal="center" vertical="center" wrapText="1"/>
    </xf>
    <xf numFmtId="2" fontId="0" fillId="0" borderId="2" applyAlignment="1" pivotButton="0" quotePrefix="0" xfId="0">
      <alignment horizontal="center" vertical="center" wrapText="1"/>
    </xf>
    <xf numFmtId="2" fontId="4" fillId="0" borderId="2" applyAlignment="1" pivotButton="0" quotePrefix="0" xfId="0">
      <alignment horizontal="center" vertical="center" wrapText="1"/>
    </xf>
    <xf numFmtId="2" fontId="0" fillId="0" borderId="12" applyAlignment="1" pivotButton="0" quotePrefix="0" xfId="0">
      <alignment horizontal="center" vertical="center" wrapText="1"/>
    </xf>
    <xf numFmtId="0" fontId="7" fillId="0" borderId="2" applyAlignment="1" pivotButton="0" quotePrefix="0" xfId="0">
      <alignment vertical="center" wrapText="1"/>
    </xf>
    <xf numFmtId="164" fontId="7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2" fontId="7" fillId="0" borderId="2" applyAlignment="1" pivotButton="0" quotePrefix="0" xfId="0">
      <alignment horizontal="center" vertical="center" wrapText="1"/>
    </xf>
    <xf numFmtId="2" fontId="7" fillId="0" borderId="3" applyAlignment="1" pivotButton="0" quotePrefix="0" xfId="0">
      <alignment horizontal="center" vertical="center" wrapText="1"/>
    </xf>
    <xf numFmtId="2" fontId="8" fillId="0" borderId="2" applyAlignment="1" pivotButton="0" quotePrefix="0" xfId="0">
      <alignment horizontal="center" vertical="center" wrapText="1"/>
    </xf>
    <xf numFmtId="2" fontId="7" fillId="0" borderId="8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8" fillId="0" borderId="2" applyAlignment="1" pivotButton="0" quotePrefix="0" xfId="0">
      <alignment vertical="center" wrapText="1"/>
    </xf>
    <xf numFmtId="164" fontId="8" fillId="0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2" fontId="8" fillId="0" borderId="3" applyAlignment="1" pivotButton="0" quotePrefix="0" xfId="0">
      <alignment horizontal="center" vertical="center" wrapText="1"/>
    </xf>
    <xf numFmtId="2" fontId="8" fillId="0" borderId="8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14" borderId="2" applyAlignment="1" pivotButton="0" quotePrefix="0" xfId="0">
      <alignment horizontal="center"/>
    </xf>
    <xf numFmtId="0" fontId="0" fillId="15" borderId="2" applyAlignment="1" pivotButton="0" quotePrefix="0" xfId="0">
      <alignment horizontal="center"/>
    </xf>
    <xf numFmtId="165" fontId="0" fillId="0" borderId="0" applyAlignment="1" applyProtection="1" pivotButton="0" quotePrefix="0" xfId="0">
      <alignment vertical="center" wrapText="1"/>
      <protection locked="0" hidden="0"/>
    </xf>
    <xf numFmtId="164" fontId="0" fillId="10" borderId="2" applyAlignment="1" applyProtection="1" pivotButton="0" quotePrefix="0" xfId="0">
      <alignment horizontal="center" vertical="center" wrapText="1"/>
      <protection locked="0" hidden="0"/>
    </xf>
    <xf numFmtId="166" fontId="0" fillId="0" borderId="2" applyAlignment="1" applyProtection="1" pivotButton="0" quotePrefix="0" xfId="0">
      <alignment horizontal="center" vertical="center" wrapText="1"/>
      <protection locked="1" hidden="1"/>
    </xf>
    <xf numFmtId="166" fontId="0" fillId="12" borderId="18" applyAlignment="1" applyProtection="1" pivotButton="0" quotePrefix="0" xfId="0">
      <alignment horizontal="center" vertical="center" wrapText="1"/>
      <protection locked="1" hidden="1"/>
    </xf>
    <xf numFmtId="166" fontId="0" fillId="12" borderId="19" applyAlignment="1" applyProtection="1" pivotButton="0" quotePrefix="0" xfId="0">
      <alignment horizontal="center" vertical="center" wrapText="1"/>
      <protection locked="1" hidden="1"/>
    </xf>
    <xf numFmtId="166" fontId="0" fillId="0" borderId="8" applyAlignment="1" applyProtection="1" pivotButton="0" quotePrefix="0" xfId="0">
      <alignment horizontal="center" vertical="center" wrapText="1"/>
      <protection locked="1" hidden="1"/>
    </xf>
    <xf numFmtId="43" fontId="0" fillId="0" borderId="2" applyAlignment="1" applyProtection="1" pivotButton="0" quotePrefix="0" xfId="0">
      <alignment horizontal="center" vertical="center" wrapText="1"/>
      <protection locked="1" hidden="1"/>
    </xf>
    <xf numFmtId="166" fontId="0" fillId="0" borderId="20" applyAlignment="1" applyProtection="1" pivotButton="0" quotePrefix="0" xfId="0">
      <alignment horizontal="center" vertical="center" wrapText="1"/>
      <protection locked="1" hidden="1"/>
    </xf>
    <xf numFmtId="166" fontId="0" fillId="0" borderId="21" applyAlignment="1" applyProtection="1" pivotButton="0" quotePrefix="0" xfId="0">
      <alignment horizontal="center" vertical="center" wrapText="1"/>
      <protection locked="1" hidden="1"/>
    </xf>
    <xf numFmtId="166" fontId="0" fillId="8" borderId="2" applyAlignment="1" applyProtection="1" pivotButton="0" quotePrefix="0" xfId="0">
      <alignment horizontal="center" vertical="center" wrapText="1"/>
      <protection locked="1" hidden="1"/>
    </xf>
    <xf numFmtId="166" fontId="0" fillId="12" borderId="2" applyAlignment="1" applyProtection="1" pivotButton="0" quotePrefix="0" xfId="0">
      <alignment horizontal="center" vertical="center" wrapText="1"/>
      <protection locked="1" hidden="1"/>
    </xf>
    <xf numFmtId="167" fontId="0" fillId="0" borderId="2" applyAlignment="1" applyProtection="1" pivotButton="0" quotePrefix="0" xfId="0">
      <alignment horizontal="center" vertical="center" wrapText="1"/>
      <protection locked="1" hidden="1"/>
    </xf>
    <xf numFmtId="164" fontId="0" fillId="6" borderId="7" applyAlignment="1" applyProtection="1" pivotButton="0" quotePrefix="0" xfId="0">
      <alignment horizontal="center" wrapText="1"/>
      <protection locked="0" hidden="0"/>
    </xf>
    <xf numFmtId="166" fontId="0" fillId="9" borderId="3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center" vertical="center" wrapText="1"/>
    </xf>
    <xf numFmtId="164" fontId="3" fillId="0" borderId="0" applyAlignment="1" applyProtection="1" pivotButton="0" quotePrefix="0" xfId="3">
      <alignment vertical="center" wrapText="1"/>
      <protection locked="0" hidden="0"/>
    </xf>
    <xf numFmtId="0" fontId="0" fillId="0" borderId="0" applyAlignment="1" applyProtection="1" pivotButton="0" quotePrefix="0" xfId="0">
      <alignment vertical="center" wrapText="1"/>
      <protection locked="0" hidden="0"/>
    </xf>
    <xf numFmtId="2" fontId="7" fillId="0" borderId="2" applyAlignment="1" applyProtection="1" pivotButton="0" quotePrefix="0" xfId="0">
      <alignment horizontal="center" vertical="center" wrapText="1"/>
      <protection locked="1" hidden="1"/>
    </xf>
    <xf numFmtId="2" fontId="2" fillId="3" borderId="2" applyAlignment="1" applyProtection="1" pivotButton="0" quotePrefix="0" xfId="2">
      <alignment horizontal="center" vertical="center" wrapText="1"/>
      <protection locked="1" hidden="1"/>
    </xf>
    <xf numFmtId="0" fontId="7" fillId="0" borderId="2" applyAlignment="1" applyProtection="1" pivotButton="0" quotePrefix="0" xfId="0">
      <alignment horizontal="center" vertical="center" wrapText="1"/>
      <protection locked="1" hidden="1"/>
    </xf>
    <xf numFmtId="2" fontId="0" fillId="8" borderId="2" applyAlignment="1" applyProtection="1" pivotButton="0" quotePrefix="0" xfId="0">
      <alignment horizontal="center" vertical="center" wrapText="1"/>
      <protection locked="1" hidden="1"/>
    </xf>
    <xf numFmtId="0" fontId="13" fillId="9" borderId="1" applyAlignment="1" pivotButton="0" quotePrefix="0" xfId="3">
      <alignment horizontal="center" vertical="center" wrapText="1"/>
    </xf>
    <xf numFmtId="0" fontId="13" fillId="9" borderId="1" applyAlignment="1" applyProtection="1" pivotButton="0" quotePrefix="0" xfId="3">
      <alignment horizontal="center" vertical="center" wrapText="1"/>
      <protection locked="1" hidden="1"/>
    </xf>
    <xf numFmtId="0" fontId="0" fillId="12" borderId="2" applyAlignment="1" pivotButton="0" quotePrefix="0" xfId="0">
      <alignment horizontal="center"/>
    </xf>
    <xf numFmtId="2" fontId="0" fillId="0" borderId="10" applyAlignment="1" applyProtection="1" pivotButton="0" quotePrefix="0" xfId="0">
      <alignment horizontal="center" vertical="center" wrapText="1"/>
      <protection locked="0" hidden="0"/>
    </xf>
    <xf numFmtId="2" fontId="0" fillId="0" borderId="11" applyAlignment="1" applyProtection="1" pivotButton="0" quotePrefix="0" xfId="0">
      <alignment horizontal="center" vertical="center" wrapText="1"/>
      <protection locked="0" hidden="0"/>
    </xf>
    <xf numFmtId="2" fontId="0" fillId="0" borderId="12" applyAlignment="1" applyProtection="1" pivotButton="0" quotePrefix="0" xfId="0">
      <alignment horizontal="center" vertical="center" wrapText="1"/>
      <protection locked="0" hidden="0"/>
    </xf>
    <xf numFmtId="2" fontId="0" fillId="8" borderId="10" applyAlignment="1" applyProtection="1" pivotButton="0" quotePrefix="0" xfId="0">
      <alignment horizontal="center" vertical="center" wrapText="1"/>
      <protection locked="0" hidden="0"/>
    </xf>
    <xf numFmtId="2" fontId="0" fillId="8" borderId="11" applyAlignment="1" applyProtection="1" pivotButton="0" quotePrefix="0" xfId="0">
      <alignment horizontal="center" vertical="center" wrapText="1"/>
      <protection locked="0" hidden="0"/>
    </xf>
    <xf numFmtId="2" fontId="0" fillId="8" borderId="12" applyAlignment="1" applyProtection="1" pivotButton="0" quotePrefix="0" xfId="0">
      <alignment horizontal="center" vertical="center" wrapText="1"/>
      <protection locked="0" hidden="0"/>
    </xf>
    <xf numFmtId="0" fontId="0" fillId="0" borderId="3" applyAlignment="1" pivotButton="0" quotePrefix="0" xfId="0">
      <alignment horizontal="center"/>
    </xf>
    <xf numFmtId="0" fontId="0" fillId="8" borderId="3" applyAlignment="1" pivotButton="0" quotePrefix="0" xfId="0">
      <alignment horizontal="center"/>
    </xf>
    <xf numFmtId="0" fontId="0" fillId="0" borderId="2" pivotButton="0" quotePrefix="0" xfId="0"/>
    <xf numFmtId="0" fontId="0" fillId="17" borderId="2" pivotButton="0" quotePrefix="0" xfId="0"/>
    <xf numFmtId="164" fontId="0" fillId="8" borderId="7" applyAlignment="1" applyProtection="1" pivotButton="0" quotePrefix="0" xfId="0">
      <alignment horizontal="center" vertical="center" wrapText="1"/>
      <protection locked="0" hidden="0"/>
    </xf>
    <xf numFmtId="2" fontId="7" fillId="0" borderId="10" applyAlignment="1" pivotButton="0" quotePrefix="0" xfId="0">
      <alignment horizontal="center" vertical="center" wrapText="1"/>
    </xf>
    <xf numFmtId="2" fontId="0" fillId="0" borderId="2" applyAlignment="1" applyProtection="1" pivotButton="0" quotePrefix="0" xfId="0">
      <alignment horizontal="center" vertical="center" wrapText="1"/>
      <protection locked="0" hidden="0"/>
    </xf>
    <xf numFmtId="2" fontId="7" fillId="0" borderId="2" applyAlignment="1" applyProtection="1" pivotButton="0" quotePrefix="0" xfId="1">
      <alignment horizontal="center" vertical="center" wrapText="1"/>
      <protection locked="0" hidden="0"/>
    </xf>
    <xf numFmtId="2" fontId="8" fillId="0" borderId="10" applyAlignment="1" pivotButton="0" quotePrefix="0" xfId="0">
      <alignment horizontal="center" vertical="center" wrapText="1"/>
    </xf>
    <xf numFmtId="168" fontId="10" fillId="16" borderId="2" applyAlignment="1" applyProtection="1" pivotButton="0" quotePrefix="0" xfId="5">
      <alignment vertical="center" wrapText="1"/>
      <protection locked="0" hidden="0"/>
    </xf>
    <xf numFmtId="164" fontId="0" fillId="0" borderId="0" applyAlignment="1" applyProtection="1" pivotButton="0" quotePrefix="0" xfId="0">
      <alignment horizontal="center" vertical="center" wrapText="1"/>
      <protection locked="0" hidden="0"/>
    </xf>
    <xf numFmtId="2" fontId="7" fillId="0" borderId="10" applyAlignment="1" applyProtection="1" pivotButton="0" quotePrefix="0" xfId="1">
      <alignment horizontal="center" vertical="center" wrapText="1"/>
      <protection locked="0" hidden="0"/>
    </xf>
    <xf numFmtId="0" fontId="0" fillId="0" borderId="10" applyAlignment="1" applyProtection="1" pivotButton="0" quotePrefix="0" xfId="0">
      <alignment horizontal="center" vertical="center" wrapText="1"/>
      <protection locked="0" hidden="0"/>
    </xf>
    <xf numFmtId="2" fontId="0" fillId="8" borderId="2" applyAlignment="1" applyProtection="1" pivotButton="0" quotePrefix="0" xfId="0">
      <alignment horizontal="center" vertical="center" wrapText="1"/>
      <protection locked="0" hidden="0"/>
    </xf>
    <xf numFmtId="168" fontId="10" fillId="16" borderId="10" applyAlignment="1" applyProtection="1" pivotButton="0" quotePrefix="0" xfId="5">
      <alignment horizontal="center" vertical="center" wrapText="1"/>
      <protection locked="0" hidden="0"/>
    </xf>
    <xf numFmtId="168" fontId="10" fillId="16" borderId="11" applyAlignment="1" applyProtection="1" pivotButton="0" quotePrefix="0" xfId="5">
      <alignment horizontal="center" vertical="center" wrapText="1"/>
      <protection locked="0" hidden="0"/>
    </xf>
    <xf numFmtId="168" fontId="10" fillId="16" borderId="12" applyAlignment="1" applyProtection="1" pivotButton="0" quotePrefix="0" xfId="5">
      <alignment horizontal="center" vertical="center" wrapText="1"/>
      <protection locked="0" hidden="0"/>
    </xf>
    <xf numFmtId="164" fontId="0" fillId="0" borderId="17" applyAlignment="1" applyProtection="1" pivotButton="0" quotePrefix="0" xfId="0">
      <alignment horizontal="center" vertical="center" wrapText="1"/>
      <protection locked="0" hidden="0"/>
    </xf>
    <xf numFmtId="168" fontId="10" fillId="16" borderId="2" applyAlignment="1" applyProtection="1" pivotButton="0" quotePrefix="0" xfId="5">
      <alignment horizontal="center" vertical="center" wrapText="1"/>
      <protection locked="0" hidden="0"/>
    </xf>
    <xf numFmtId="166" fontId="0" fillId="0" borderId="2" applyAlignment="1" pivotButton="0" quotePrefix="0" xfId="0">
      <alignment horizontal="center" vertical="center" wrapText="1"/>
    </xf>
    <xf numFmtId="165" fontId="0" fillId="0" borderId="0" applyAlignment="1" applyProtection="1" pivotButton="0" quotePrefix="0" xfId="0">
      <alignment horizontal="center" vertical="center" wrapText="1"/>
      <protection locked="0" hidden="0"/>
    </xf>
    <xf numFmtId="164" fontId="0" fillId="0" borderId="4" applyAlignment="1" applyProtection="1" pivotButton="0" quotePrefix="0" xfId="0">
      <alignment horizontal="center" vertical="center" wrapText="1"/>
      <protection locked="0" hidden="0"/>
    </xf>
    <xf numFmtId="2" fontId="0" fillId="0" borderId="0" applyProtection="1" pivotButton="0" quotePrefix="0" xfId="0">
      <protection locked="0" hidden="0"/>
    </xf>
    <xf numFmtId="2" fontId="0" fillId="0" borderId="0" applyAlignment="1" applyProtection="1" pivotButton="0" quotePrefix="0" xfId="0">
      <alignment horizontal="center"/>
      <protection locked="0" hidden="0"/>
    </xf>
    <xf numFmtId="2" fontId="7" fillId="0" borderId="0" applyAlignment="1" applyProtection="1" pivotButton="0" quotePrefix="0" xfId="0">
      <alignment horizontal="center"/>
      <protection locked="0" hidden="0"/>
    </xf>
    <xf numFmtId="0" fontId="0" fillId="8" borderId="0" applyAlignment="1" applyProtection="1" pivotButton="0" quotePrefix="0" xfId="0">
      <alignment horizontal="center" vertical="center"/>
      <protection locked="0" hidden="0"/>
    </xf>
    <xf numFmtId="0" fontId="0" fillId="8" borderId="0" applyProtection="1" pivotButton="0" quotePrefix="0" xfId="0">
      <protection locked="0" hidden="0"/>
    </xf>
    <xf numFmtId="166" fontId="0" fillId="0" borderId="10" applyAlignment="1" pivotButton="0" quotePrefix="0" xfId="0">
      <alignment vertical="center" wrapText="1"/>
    </xf>
    <xf numFmtId="166" fontId="0" fillId="0" borderId="2" applyAlignment="1" pivotButton="0" quotePrefix="0" xfId="0">
      <alignment vertical="center" wrapText="1"/>
    </xf>
    <xf numFmtId="166" fontId="0" fillId="0" borderId="2" applyAlignment="1" applyProtection="1" pivotButton="0" quotePrefix="0" xfId="0">
      <alignment vertical="center" wrapText="1"/>
      <protection locked="1" hidden="1"/>
    </xf>
    <xf numFmtId="0" fontId="0" fillId="0" borderId="0" applyAlignment="1" pivotButton="0" quotePrefix="0" xfId="0">
      <alignment horizontal="center"/>
    </xf>
    <xf numFmtId="167" fontId="0" fillId="0" borderId="0" pivotButton="0" quotePrefix="0" xfId="0"/>
    <xf numFmtId="2" fontId="0" fillId="13" borderId="0" applyProtection="1" pivotButton="0" quotePrefix="0" xfId="0">
      <protection locked="0" hidden="0"/>
    </xf>
    <xf numFmtId="2" fontId="7" fillId="0" borderId="0" applyProtection="1" pivotButton="0" quotePrefix="0" xfId="0">
      <protection locked="0" hidden="0"/>
    </xf>
    <xf numFmtId="2" fontId="7" fillId="13" borderId="0" applyProtection="1" pivotButton="0" quotePrefix="0" xfId="0">
      <protection locked="0" hidden="0"/>
    </xf>
    <xf numFmtId="164" fontId="6" fillId="0" borderId="0" applyAlignment="1" applyProtection="1" pivotButton="0" quotePrefix="0" xfId="0">
      <alignment vertical="center" wrapText="1"/>
      <protection locked="0" hidden="0"/>
    </xf>
    <xf numFmtId="164" fontId="6" fillId="0" borderId="0" applyAlignment="1" applyProtection="1" pivotButton="0" quotePrefix="0" xfId="0">
      <alignment horizontal="center" vertical="center" wrapText="1"/>
      <protection locked="0" hidden="0"/>
    </xf>
    <xf numFmtId="9" fontId="0" fillId="0" borderId="4" applyAlignment="1" applyProtection="1" pivotButton="0" quotePrefix="0" xfId="6">
      <alignment vertical="center" wrapText="1"/>
      <protection locked="0" hidden="0"/>
    </xf>
    <xf numFmtId="164" fontId="0" fillId="13" borderId="2" applyAlignment="1" applyProtection="1" pivotButton="0" quotePrefix="0" xfId="0">
      <alignment horizontal="center" vertical="center" wrapText="1"/>
      <protection locked="1" hidden="1"/>
    </xf>
    <xf numFmtId="166" fontId="0" fillId="13" borderId="2" applyAlignment="1" applyProtection="1" pivotButton="0" quotePrefix="0" xfId="0">
      <alignment horizontal="center" vertical="center" wrapText="1"/>
      <protection locked="1" hidden="1"/>
    </xf>
    <xf numFmtId="166" fontId="0" fillId="11" borderId="3" applyAlignment="1" pivotButton="0" quotePrefix="0" xfId="0">
      <alignment vertical="center" wrapText="1"/>
    </xf>
    <xf numFmtId="166" fontId="0" fillId="13" borderId="18" applyAlignment="1" applyProtection="1" pivotButton="0" quotePrefix="0" xfId="0">
      <alignment horizontal="center" vertical="center" wrapText="1"/>
      <protection locked="1" hidden="1"/>
    </xf>
    <xf numFmtId="166" fontId="0" fillId="13" borderId="19" applyAlignment="1" applyProtection="1" pivotButton="0" quotePrefix="0" xfId="0">
      <alignment horizontal="center" vertical="center" wrapText="1"/>
      <protection locked="1" hidden="1"/>
    </xf>
    <xf numFmtId="166" fontId="0" fillId="13" borderId="8" applyAlignment="1" applyProtection="1" pivotButton="0" quotePrefix="0" xfId="0">
      <alignment horizontal="center" vertical="center" wrapText="1"/>
      <protection locked="1" hidden="1"/>
    </xf>
    <xf numFmtId="43" fontId="0" fillId="13" borderId="2" applyAlignment="1" applyProtection="1" pivotButton="0" quotePrefix="0" xfId="0">
      <alignment horizontal="center" vertical="center" wrapText="1"/>
      <protection locked="1" hidden="1"/>
    </xf>
    <xf numFmtId="166" fontId="0" fillId="13" borderId="27" applyAlignment="1" applyProtection="1" pivotButton="0" quotePrefix="0" xfId="0">
      <alignment horizontal="center" vertical="center" wrapText="1"/>
      <protection locked="1" hidden="1"/>
    </xf>
    <xf numFmtId="166" fontId="0" fillId="13" borderId="28" applyAlignment="1" applyProtection="1" pivotButton="0" quotePrefix="0" xfId="0">
      <alignment horizontal="center" vertical="center" wrapText="1"/>
      <protection locked="1" hidden="1"/>
    </xf>
    <xf numFmtId="166" fontId="0" fillId="13" borderId="20" applyAlignment="1" applyProtection="1" pivotButton="0" quotePrefix="0" xfId="0">
      <alignment horizontal="center" vertical="center" wrapText="1"/>
      <protection locked="1" hidden="1"/>
    </xf>
    <xf numFmtId="166" fontId="0" fillId="13" borderId="21" applyAlignment="1" applyProtection="1" pivotButton="0" quotePrefix="0" xfId="0">
      <alignment horizontal="center" vertical="center" wrapText="1"/>
      <protection locked="1" hidden="1"/>
    </xf>
    <xf numFmtId="166" fontId="0" fillId="13" borderId="29" applyAlignment="1" applyProtection="1" pivotButton="0" quotePrefix="0" xfId="0">
      <alignment horizontal="center" vertical="center" wrapText="1"/>
      <protection locked="1" hidden="1"/>
    </xf>
    <xf numFmtId="166" fontId="0" fillId="13" borderId="30" applyAlignment="1" applyProtection="1" pivotButton="0" quotePrefix="0" xfId="0">
      <alignment horizontal="center" vertical="center" wrapText="1"/>
      <protection locked="1" hidden="1"/>
    </xf>
    <xf numFmtId="166" fontId="0" fillId="0" borderId="18" applyAlignment="1" applyProtection="1" pivotButton="0" quotePrefix="0" xfId="0">
      <alignment horizontal="center" vertical="center" wrapText="1"/>
      <protection locked="1" hidden="1"/>
    </xf>
    <xf numFmtId="166" fontId="0" fillId="0" borderId="19" applyAlignment="1" applyProtection="1" pivotButton="0" quotePrefix="0" xfId="0">
      <alignment horizontal="center" vertical="center" wrapText="1"/>
      <protection locked="1" hidden="1"/>
    </xf>
    <xf numFmtId="166" fontId="0" fillId="0" borderId="27" applyAlignment="1" applyProtection="1" pivotButton="0" quotePrefix="0" xfId="0">
      <alignment horizontal="center" vertical="center" wrapText="1"/>
      <protection locked="1" hidden="1"/>
    </xf>
    <xf numFmtId="166" fontId="0" fillId="11" borderId="18" applyAlignment="1" applyProtection="1" pivotButton="0" quotePrefix="0" xfId="0">
      <alignment horizontal="center" vertical="center" wrapText="1"/>
      <protection locked="1" hidden="1"/>
    </xf>
    <xf numFmtId="166" fontId="0" fillId="11" borderId="19" applyAlignment="1" applyProtection="1" pivotButton="0" quotePrefix="0" xfId="0">
      <alignment horizontal="center" vertical="center" wrapText="1"/>
      <protection locked="1" hidden="1"/>
    </xf>
    <xf numFmtId="0" fontId="0" fillId="0" borderId="0" applyAlignment="1" applyProtection="1" pivotButton="0" quotePrefix="0" xfId="0">
      <alignment horizontal="center" vertical="center"/>
      <protection locked="0" hidden="0"/>
    </xf>
    <xf numFmtId="166" fontId="0" fillId="0" borderId="0" applyProtection="1" pivotButton="0" quotePrefix="0" xfId="0">
      <protection locked="0" hidden="0"/>
    </xf>
    <xf numFmtId="2" fontId="0" fillId="0" borderId="2" applyAlignment="1" applyProtection="1" pivotButton="0" quotePrefix="0" xfId="0">
      <alignment vertical="center" wrapText="1"/>
      <protection locked="1" hidden="1"/>
    </xf>
    <xf numFmtId="164" fontId="0" fillId="13" borderId="2" applyAlignment="1" applyProtection="1" pivotButton="0" quotePrefix="0" xfId="0">
      <alignment vertical="center" wrapText="1"/>
      <protection locked="1" hidden="1"/>
    </xf>
    <xf numFmtId="166" fontId="0" fillId="13" borderId="2" applyAlignment="1" applyProtection="1" pivotButton="0" quotePrefix="0" xfId="0">
      <alignment vertical="center" wrapText="1"/>
      <protection locked="0" hidden="0"/>
    </xf>
    <xf numFmtId="164" fontId="0" fillId="0" borderId="2" applyAlignment="1" applyProtection="1" pivotButton="0" quotePrefix="0" xfId="0">
      <alignment vertical="center" wrapText="1"/>
      <protection locked="1" hidden="1"/>
    </xf>
    <xf numFmtId="166" fontId="0" fillId="0" borderId="2" applyAlignment="1" applyProtection="1" pivotButton="0" quotePrefix="0" xfId="0">
      <alignment vertical="center" wrapText="1"/>
      <protection locked="0" hidden="0"/>
    </xf>
    <xf numFmtId="0" fontId="0" fillId="0" borderId="2" applyAlignment="1" applyProtection="1" pivotButton="0" quotePrefix="0" xfId="0">
      <alignment vertical="center" wrapText="1"/>
      <protection locked="0" hidden="0"/>
    </xf>
    <xf numFmtId="164" fontId="0" fillId="0" borderId="10" applyAlignment="1" applyProtection="1" pivotButton="0" quotePrefix="0" xfId="0">
      <alignment horizontal="center" vertical="center" wrapText="1"/>
      <protection locked="0" hidden="0"/>
    </xf>
    <xf numFmtId="164" fontId="3" fillId="0" borderId="0" applyAlignment="1" applyProtection="1" pivotButton="0" quotePrefix="0" xfId="3">
      <alignment horizontal="center" vertical="center" wrapText="1"/>
      <protection locked="0" hidden="0"/>
    </xf>
    <xf numFmtId="164" fontId="0" fillId="0" borderId="2" applyAlignment="1" applyProtection="1" pivotButton="0" quotePrefix="0" xfId="0">
      <alignment vertical="center" wrapText="1"/>
      <protection locked="0" hidden="0"/>
    </xf>
    <xf numFmtId="0" fontId="13" fillId="19" borderId="1" applyAlignment="1" pivotButton="0" quotePrefix="0" xfId="3">
      <alignment horizontal="center" vertical="center" wrapText="1"/>
    </xf>
    <xf numFmtId="0" fontId="13" fillId="19" borderId="1" applyAlignment="1" applyProtection="1" pivotButton="0" quotePrefix="0" xfId="3">
      <alignment horizontal="center" vertical="center" wrapText="1"/>
      <protection locked="1" hidden="1"/>
    </xf>
    <xf numFmtId="0" fontId="0" fillId="8" borderId="2" applyAlignment="1" applyProtection="1" pivotButton="0" quotePrefix="0" xfId="0">
      <alignment horizontal="center" vertical="center" wrapText="1"/>
      <protection locked="1" hidden="1"/>
    </xf>
    <xf numFmtId="0" fontId="13" fillId="8" borderId="1" applyAlignment="1" pivotButton="0" quotePrefix="0" xfId="3">
      <alignment horizontal="center" vertical="center" wrapText="1"/>
    </xf>
    <xf numFmtId="168" fontId="10" fillId="16" borderId="8" applyAlignment="1" applyProtection="1" pivotButton="0" quotePrefix="0" xfId="5">
      <alignment vertical="center" wrapText="1"/>
      <protection locked="0" hidden="0"/>
    </xf>
    <xf numFmtId="10" fontId="0" fillId="0" borderId="10" applyAlignment="1" applyProtection="1" pivotButton="0" quotePrefix="0" xfId="0">
      <alignment horizontal="center" vertical="center" wrapText="1"/>
      <protection locked="0" hidden="0"/>
    </xf>
    <xf numFmtId="0" fontId="0" fillId="13" borderId="2" applyAlignment="1" applyProtection="1" pivotButton="0" quotePrefix="0" xfId="0">
      <alignment vertical="center" wrapText="1"/>
      <protection locked="0" hidden="0"/>
    </xf>
    <xf numFmtId="166" fontId="0" fillId="12" borderId="2" applyAlignment="1" pivotButton="0" quotePrefix="0" xfId="0">
      <alignment vertical="center" wrapText="1"/>
    </xf>
    <xf numFmtId="0" fontId="0" fillId="12" borderId="2" applyAlignment="1" pivotButton="0" quotePrefix="0" xfId="0">
      <alignment horizontal="center" vertical="center" wrapText="1"/>
    </xf>
    <xf numFmtId="2" fontId="7" fillId="12" borderId="2" applyAlignment="1" applyProtection="1" pivotButton="0" quotePrefix="0" xfId="0">
      <alignment horizontal="center" vertical="center" wrapText="1"/>
      <protection locked="1" hidden="1"/>
    </xf>
    <xf numFmtId="2" fontId="7" fillId="12" borderId="2" applyAlignment="1" pivotButton="0" quotePrefix="0" xfId="0">
      <alignment horizontal="center" vertical="center" wrapText="1"/>
    </xf>
    <xf numFmtId="2" fontId="2" fillId="12" borderId="2" applyAlignment="1" applyProtection="1" pivotButton="0" quotePrefix="0" xfId="2">
      <alignment horizontal="center" vertical="center" wrapText="1"/>
      <protection locked="1" hidden="1"/>
    </xf>
    <xf numFmtId="2" fontId="7" fillId="12" borderId="2" applyAlignment="1" applyProtection="1" pivotButton="0" quotePrefix="0" xfId="2">
      <alignment horizontal="center" vertical="center" wrapText="1"/>
      <protection locked="1" hidden="1"/>
    </xf>
    <xf numFmtId="166" fontId="0" fillId="12" borderId="2" applyAlignment="1" pivotButton="0" quotePrefix="0" xfId="0">
      <alignment horizontal="center" vertical="center" wrapText="1"/>
    </xf>
    <xf numFmtId="0" fontId="7" fillId="12" borderId="2" applyAlignment="1" pivotButton="0" quotePrefix="0" xfId="3">
      <alignment horizontal="center" vertical="center" wrapText="1"/>
    </xf>
    <xf numFmtId="0" fontId="7" fillId="12" borderId="2" applyAlignment="1" applyProtection="1" pivotButton="0" quotePrefix="0" xfId="3">
      <alignment horizontal="center" vertical="center" wrapText="1"/>
      <protection locked="1" hidden="1"/>
    </xf>
    <xf numFmtId="2" fontId="0" fillId="13" borderId="2" applyAlignment="1" applyProtection="1" pivotButton="0" quotePrefix="0" xfId="0">
      <alignment horizontal="center" vertical="center" wrapText="1"/>
      <protection locked="1" hidden="1"/>
    </xf>
    <xf numFmtId="2" fontId="7" fillId="0" borderId="8" applyAlignment="1" applyProtection="1" pivotButton="0" quotePrefix="0" xfId="0">
      <alignment horizontal="center" vertical="center" wrapText="1"/>
      <protection locked="1" hidden="1"/>
    </xf>
    <xf numFmtId="0" fontId="0" fillId="0" borderId="8" applyAlignment="1" applyProtection="1" pivotButton="0" quotePrefix="0" xfId="0">
      <alignment horizontal="center" vertical="center" wrapText="1"/>
      <protection locked="1" hidden="1"/>
    </xf>
    <xf numFmtId="2" fontId="7" fillId="12" borderId="8" applyAlignment="1" applyProtection="1" pivotButton="0" quotePrefix="0" xfId="0">
      <alignment horizontal="center" vertical="center" wrapText="1"/>
      <protection locked="1" hidden="1"/>
    </xf>
    <xf numFmtId="2" fontId="7" fillId="12" borderId="8" applyAlignment="1" pivotButton="0" quotePrefix="0" xfId="0">
      <alignment horizontal="center" vertical="center" wrapText="1"/>
    </xf>
    <xf numFmtId="2" fontId="2" fillId="12" borderId="8" applyAlignment="1" applyProtection="1" pivotButton="0" quotePrefix="0" xfId="2">
      <alignment horizontal="center" vertical="center" wrapText="1"/>
      <protection locked="1" hidden="1"/>
    </xf>
    <xf numFmtId="2" fontId="7" fillId="12" borderId="8" applyAlignment="1" applyProtection="1" pivotButton="0" quotePrefix="0" xfId="2">
      <alignment horizontal="center" vertical="center" wrapText="1"/>
      <protection locked="1" hidden="1"/>
    </xf>
    <xf numFmtId="164" fontId="14" fillId="18" borderId="26" applyAlignment="1" applyProtection="1" pivotButton="0" quotePrefix="0" xfId="7">
      <alignment vertical="center" wrapText="1"/>
      <protection locked="0" hidden="0"/>
    </xf>
    <xf numFmtId="0" fontId="0" fillId="6" borderId="2" applyAlignment="1" applyProtection="1" pivotButton="0" quotePrefix="0" xfId="0">
      <alignment horizontal="center"/>
      <protection locked="0" hidden="0"/>
    </xf>
    <xf numFmtId="164" fontId="3" fillId="4" borderId="1" applyAlignment="1" applyProtection="1" pivotButton="0" quotePrefix="0" xfId="3">
      <alignment vertical="center" wrapText="1"/>
      <protection locked="0" hidden="0"/>
    </xf>
    <xf numFmtId="0" fontId="0" fillId="0" borderId="2" applyAlignment="1" applyProtection="1" pivotButton="0" quotePrefix="0" xfId="0">
      <alignment horizontal="center"/>
      <protection locked="0" hidden="0"/>
    </xf>
    <xf numFmtId="0" fontId="0" fillId="0" borderId="2" applyProtection="1" pivotButton="0" quotePrefix="0" xfId="0">
      <protection locked="0" hidden="0"/>
    </xf>
    <xf numFmtId="164" fontId="0" fillId="6" borderId="7" applyAlignment="1" pivotButton="0" quotePrefix="0" xfId="0">
      <alignment horizontal="center" wrapText="1"/>
    </xf>
    <xf numFmtId="164" fontId="0" fillId="10" borderId="2" applyAlignment="1" pivotButton="0" quotePrefix="0" xfId="0">
      <alignment horizontal="center" vertical="center" wrapText="1"/>
    </xf>
    <xf numFmtId="164" fontId="0" fillId="0" borderId="8" applyAlignment="1" pivotButton="0" quotePrefix="0" xfId="0">
      <alignment horizontal="center" vertical="center" wrapText="1"/>
    </xf>
    <xf numFmtId="10" fontId="0" fillId="13" borderId="2" applyAlignment="1" pivotButton="0" quotePrefix="0" xfId="0">
      <alignment horizontal="center" vertical="center" wrapText="1"/>
    </xf>
    <xf numFmtId="10" fontId="0" fillId="0" borderId="2" applyAlignment="1" pivotButton="0" quotePrefix="0" xfId="0">
      <alignment horizontal="center" vertical="center" wrapText="1"/>
    </xf>
    <xf numFmtId="166" fontId="14" fillId="18" borderId="26" applyAlignment="1" pivotButton="0" quotePrefix="0" xfId="7">
      <alignment horizontal="center" vertical="center" wrapText="1"/>
    </xf>
    <xf numFmtId="166" fontId="3" fillId="19" borderId="1" applyAlignment="1" pivotButton="0" quotePrefix="0" xfId="3">
      <alignment horizontal="center" vertical="center" wrapText="1"/>
    </xf>
    <xf numFmtId="168" fontId="3" fillId="4" borderId="1" applyAlignment="1" applyProtection="1" pivotButton="0" quotePrefix="0" xfId="3">
      <alignment horizontal="center" vertical="center" wrapText="1"/>
      <protection locked="1" hidden="1"/>
    </xf>
    <xf numFmtId="169" fontId="3" fillId="4" borderId="1" applyAlignment="1" applyProtection="1" pivotButton="0" quotePrefix="0" xfId="3">
      <alignment horizontal="center" vertical="center" wrapText="1"/>
      <protection locked="1" hidden="1"/>
    </xf>
    <xf numFmtId="170" fontId="0" fillId="13" borderId="2" applyAlignment="1" pivotButton="0" quotePrefix="0" xfId="0">
      <alignment horizontal="center" vertical="center" wrapText="1"/>
    </xf>
    <xf numFmtId="166" fontId="3" fillId="4" borderId="1" applyAlignment="1" pivotButton="0" quotePrefix="0" xfId="3">
      <alignment horizontal="center" vertical="center" wrapText="1"/>
    </xf>
    <xf numFmtId="168" fontId="14" fillId="18" borderId="26" applyAlignment="1" applyProtection="1" pivotButton="0" quotePrefix="0" xfId="7">
      <alignment horizontal="center" vertical="center" wrapText="1"/>
      <protection locked="1" hidden="1"/>
    </xf>
    <xf numFmtId="169" fontId="14" fillId="18" borderId="26" applyAlignment="1" applyProtection="1" pivotButton="0" quotePrefix="0" xfId="7">
      <alignment horizontal="center" vertical="center" wrapText="1"/>
      <protection locked="1" hidden="1"/>
    </xf>
    <xf numFmtId="171" fontId="0" fillId="13" borderId="2" applyAlignment="1" pivotButton="0" quotePrefix="0" xfId="0">
      <alignment horizontal="center" vertical="center" wrapText="1"/>
    </xf>
    <xf numFmtId="170" fontId="10" fillId="16" borderId="2" applyAlignment="1" pivotButton="0" quotePrefix="0" xfId="5">
      <alignment horizontal="center" vertical="center" wrapText="1"/>
    </xf>
    <xf numFmtId="166" fontId="10" fillId="16" borderId="2" applyAlignment="1" pivotButton="0" quotePrefix="0" xfId="5">
      <alignment horizontal="center" vertical="center" wrapText="1"/>
    </xf>
    <xf numFmtId="166" fontId="0" fillId="0" borderId="11" applyAlignment="1" pivotButton="0" quotePrefix="0" xfId="0">
      <alignment vertical="center" wrapText="1"/>
    </xf>
    <xf numFmtId="166" fontId="0" fillId="0" borderId="12" applyAlignment="1" pivotButton="0" quotePrefix="0" xfId="0">
      <alignment vertical="center" wrapText="1"/>
    </xf>
    <xf numFmtId="166" fontId="3" fillId="4" borderId="23" applyAlignment="1" pivotButton="0" quotePrefix="0" xfId="3">
      <alignment vertical="center" wrapText="1"/>
    </xf>
    <xf numFmtId="166" fontId="3" fillId="4" borderId="24" applyAlignment="1" pivotButton="0" quotePrefix="0" xfId="3">
      <alignment vertical="center" wrapText="1"/>
    </xf>
    <xf numFmtId="166" fontId="3" fillId="4" borderId="25" applyAlignment="1" pivotButton="0" quotePrefix="0" xfId="3">
      <alignment vertical="center" wrapText="1"/>
    </xf>
    <xf numFmtId="166" fontId="0" fillId="13" borderId="10" applyAlignment="1" pivotButton="0" quotePrefix="0" xfId="0">
      <alignment vertical="center" wrapText="1"/>
    </xf>
    <xf numFmtId="166" fontId="0" fillId="13" borderId="11" applyAlignment="1" pivotButton="0" quotePrefix="0" xfId="0">
      <alignment vertical="center" wrapText="1"/>
    </xf>
    <xf numFmtId="166" fontId="0" fillId="13" borderId="12" applyAlignment="1" pivotButton="0" quotePrefix="0" xfId="0">
      <alignment vertical="center" wrapText="1"/>
    </xf>
    <xf numFmtId="164" fontId="0" fillId="6" borderId="7" applyAlignment="1" pivotButton="0" quotePrefix="0" xfId="0">
      <alignment horizontal="center" vertical="center" wrapText="1"/>
    </xf>
    <xf numFmtId="164" fontId="0" fillId="10" borderId="6" applyAlignment="1" pivotButton="0" quotePrefix="0" xfId="0">
      <alignment horizontal="center" vertical="center" wrapText="1"/>
    </xf>
    <xf numFmtId="0" fontId="0" fillId="0" borderId="3" applyAlignment="1" applyProtection="1" pivotButton="0" quotePrefix="0" xfId="0">
      <alignment horizontal="center" vertical="center" wrapText="1"/>
      <protection locked="0" hidden="0"/>
    </xf>
    <xf numFmtId="164" fontId="3" fillId="4" borderId="1" applyAlignment="1" pivotButton="0" quotePrefix="0" xfId="3">
      <alignment horizontal="center" vertical="center" wrapText="1"/>
    </xf>
    <xf numFmtId="166" fontId="3" fillId="4" borderId="1" applyAlignment="1" pivotButton="0" quotePrefix="0" xfId="3">
      <alignment horizontal="center" vertical="center" wrapText="1"/>
    </xf>
    <xf numFmtId="166" fontId="3" fillId="4" borderId="1" applyAlignment="1" pivotButton="0" quotePrefix="1" xfId="3">
      <alignment horizontal="center" vertical="center" wrapText="1"/>
    </xf>
    <xf numFmtId="166" fontId="14" fillId="18" borderId="26" applyAlignment="1" pivotButton="0" quotePrefix="0" xfId="7">
      <alignment horizontal="center" vertical="center" wrapText="1"/>
    </xf>
    <xf numFmtId="166" fontId="3" fillId="4" borderId="1" applyAlignment="1" applyProtection="1" pivotButton="0" quotePrefix="0" xfId="3">
      <alignment horizontal="center" vertical="center" wrapText="1"/>
      <protection locked="1" hidden="1"/>
    </xf>
    <xf numFmtId="10" fontId="14" fillId="18" borderId="26" applyAlignment="1" pivotButton="0" quotePrefix="0" xfId="7">
      <alignment horizontal="center" vertical="center" wrapText="1"/>
    </xf>
    <xf numFmtId="9" fontId="14" fillId="18" borderId="26" applyAlignment="1" pivotButton="0" quotePrefix="0" xfId="7">
      <alignment horizontal="center" vertical="center" wrapText="1"/>
    </xf>
    <xf numFmtId="166" fontId="14" fillId="18" borderId="26" applyAlignment="1" applyProtection="1" pivotButton="0" quotePrefix="0" xfId="7">
      <alignment horizontal="center" vertical="center" wrapText="1"/>
      <protection locked="1" hidden="1"/>
    </xf>
    <xf numFmtId="164" fontId="3" fillId="4" borderId="1" applyAlignment="1" pivotButton="0" quotePrefix="0" xfId="3">
      <alignment horizontal="center" vertical="center" wrapText="1"/>
    </xf>
    <xf numFmtId="166" fontId="3" fillId="4" borderId="1" applyAlignment="1" pivotButton="0" quotePrefix="1" xfId="3">
      <alignment horizontal="center" vertical="center" wrapText="1"/>
    </xf>
    <xf numFmtId="10" fontId="14" fillId="18" borderId="26" applyAlignment="1" pivotButton="0" quotePrefix="0" xfId="7">
      <alignment horizontal="center" vertical="center" wrapText="1"/>
    </xf>
    <xf numFmtId="9" fontId="14" fillId="18" borderId="26" applyAlignment="1" pivotButton="0" quotePrefix="0" xfId="7">
      <alignment horizontal="center" vertical="center" wrapText="1"/>
    </xf>
    <xf numFmtId="0" fontId="0" fillId="8" borderId="2" applyAlignment="1" pivotButton="0" quotePrefix="0" xfId="0">
      <alignment horizontal="center" vertical="center" wrapText="1"/>
    </xf>
    <xf numFmtId="10" fontId="0" fillId="9" borderId="7" applyAlignment="1" pivotButton="0" quotePrefix="0" xfId="0">
      <alignment horizontal="center" vertical="center" wrapText="1"/>
    </xf>
    <xf numFmtId="164" fontId="0" fillId="0" borderId="0" applyAlignment="1" applyProtection="1" pivotButton="0" quotePrefix="0" xfId="0">
      <alignment horizontal="right" vertical="center" wrapText="1"/>
      <protection locked="0" hidden="0"/>
    </xf>
    <xf numFmtId="2" fontId="3" fillId="4" borderId="23" applyAlignment="1" pivotButton="0" quotePrefix="0" xfId="3">
      <alignment horizontal="center" vertical="center" wrapText="1"/>
    </xf>
    <xf numFmtId="2" fontId="3" fillId="4" borderId="24" applyAlignment="1" pivotButton="0" quotePrefix="0" xfId="3">
      <alignment horizontal="center" vertical="center" wrapText="1"/>
    </xf>
    <xf numFmtId="2" fontId="3" fillId="4" borderId="25" applyAlignment="1" pivotButton="0" quotePrefix="0" xfId="3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168" fontId="5" fillId="0" borderId="2" applyAlignment="1" applyProtection="1" pivotButton="0" quotePrefix="0" xfId="0">
      <alignment horizontal="center" vertical="center" wrapText="1"/>
      <protection locked="0" hidden="0"/>
    </xf>
    <xf numFmtId="0" fontId="0" fillId="0" borderId="2" applyAlignment="1" applyProtection="1" pivotButton="0" quotePrefix="0" xfId="0">
      <alignment horizontal="center" vertical="center"/>
      <protection locked="0" hidden="0"/>
    </xf>
    <xf numFmtId="2" fontId="7" fillId="8" borderId="2" applyAlignment="1" applyProtection="1" pivotButton="0" quotePrefix="0" xfId="1">
      <alignment horizontal="center" vertical="center" wrapText="1"/>
      <protection locked="0" hidden="0"/>
    </xf>
    <xf numFmtId="168" fontId="0" fillId="0" borderId="2" applyAlignment="1" applyProtection="1" pivotButton="0" quotePrefix="0" xfId="0">
      <alignment horizontal="center" vertical="center" wrapText="1"/>
      <protection locked="0" hidden="0"/>
    </xf>
    <xf numFmtId="168" fontId="5" fillId="0" borderId="2" applyAlignment="1" applyProtection="1" pivotButton="0" quotePrefix="0" xfId="5">
      <alignment horizontal="center" vertical="center" wrapText="1"/>
      <protection locked="0" hidden="0"/>
    </xf>
    <xf numFmtId="0" fontId="0" fillId="0" borderId="1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166" fontId="3" fillId="4" borderId="23" applyAlignment="1" pivotButton="0" quotePrefix="0" xfId="3">
      <alignment vertical="center" wrapText="1"/>
    </xf>
    <xf numFmtId="166" fontId="3" fillId="4" borderId="24" applyAlignment="1" pivotButton="0" quotePrefix="0" xfId="3">
      <alignment vertical="center" wrapText="1"/>
    </xf>
    <xf numFmtId="166" fontId="3" fillId="4" borderId="25" applyAlignment="1" pivotButton="0" quotePrefix="0" xfId="3">
      <alignment vertical="center" wrapText="1"/>
    </xf>
    <xf numFmtId="2" fontId="3" fillId="4" borderId="23" applyAlignment="1" pivotButton="0" quotePrefix="0" xfId="3">
      <alignment vertical="center" wrapText="1"/>
    </xf>
    <xf numFmtId="2" fontId="3" fillId="4" borderId="24" applyAlignment="1" pivotButton="0" quotePrefix="0" xfId="3">
      <alignment vertical="center" wrapText="1"/>
    </xf>
    <xf numFmtId="2" fontId="3" fillId="4" borderId="25" applyAlignment="1" pivotButton="0" quotePrefix="0" xfId="3">
      <alignment vertical="center" wrapText="1"/>
    </xf>
    <xf numFmtId="166" fontId="13" fillId="0" borderId="23" applyAlignment="1" pivotButton="0" quotePrefix="0" xfId="3">
      <alignment vertical="center" wrapText="1"/>
    </xf>
    <xf numFmtId="166" fontId="13" fillId="0" borderId="24" applyAlignment="1" pivotButton="0" quotePrefix="0" xfId="3">
      <alignment vertical="center" wrapText="1"/>
    </xf>
    <xf numFmtId="166" fontId="13" fillId="0" borderId="25" applyAlignment="1" pivotButton="0" quotePrefix="0" xfId="3">
      <alignment vertical="center" wrapText="1"/>
    </xf>
    <xf numFmtId="166" fontId="13" fillId="0" borderId="23" applyAlignment="1" pivotButton="0" quotePrefix="0" xfId="3">
      <alignment vertical="center"/>
    </xf>
    <xf numFmtId="166" fontId="13" fillId="0" borderId="24" applyAlignment="1" pivotButton="0" quotePrefix="0" xfId="3">
      <alignment vertical="center"/>
    </xf>
    <xf numFmtId="166" fontId="13" fillId="0" borderId="25" applyAlignment="1" pivotButton="0" quotePrefix="0" xfId="3">
      <alignment vertical="center"/>
    </xf>
    <xf numFmtId="166" fontId="13" fillId="0" borderId="23" applyAlignment="1" pivotButton="0" quotePrefix="0" xfId="3">
      <alignment vertical="center" wrapText="1"/>
    </xf>
    <xf numFmtId="166" fontId="13" fillId="0" borderId="24" applyAlignment="1" pivotButton="0" quotePrefix="0" xfId="3">
      <alignment vertical="center" wrapText="1"/>
    </xf>
    <xf numFmtId="166" fontId="13" fillId="0" borderId="25" applyAlignment="1" pivotButton="0" quotePrefix="0" xfId="3">
      <alignment vertical="center" wrapText="1"/>
    </xf>
    <xf numFmtId="166" fontId="13" fillId="0" borderId="23" applyAlignment="1" pivotButton="0" quotePrefix="0" xfId="1">
      <alignment vertical="center" wrapText="1"/>
    </xf>
    <xf numFmtId="166" fontId="13" fillId="0" borderId="24" applyAlignment="1" pivotButton="0" quotePrefix="0" xfId="1">
      <alignment vertical="center" wrapText="1"/>
    </xf>
    <xf numFmtId="166" fontId="13" fillId="0" borderId="25" applyAlignment="1" pivotButton="0" quotePrefix="0" xfId="1">
      <alignment vertical="center" wrapText="1"/>
    </xf>
    <xf numFmtId="168" fontId="3" fillId="4" borderId="1" applyAlignment="1" applyProtection="1" pivotButton="0" quotePrefix="0" xfId="3">
      <alignment horizontal="right" vertical="center" wrapText="1"/>
      <protection locked="1" hidden="1"/>
    </xf>
    <xf numFmtId="169" fontId="3" fillId="4" borderId="1" applyAlignment="1" applyProtection="1" pivotButton="0" quotePrefix="0" xfId="3">
      <alignment horizontal="right" vertical="center" wrapText="1"/>
      <protection locked="1" hidden="1"/>
    </xf>
    <xf numFmtId="172" fontId="14" fillId="18" borderId="26" applyAlignment="1" applyProtection="1" pivotButton="0" quotePrefix="0" xfId="7">
      <alignment horizontal="center" vertical="center" wrapText="1"/>
      <protection locked="1" hidden="1"/>
    </xf>
    <xf numFmtId="173" fontId="3" fillId="4" borderId="1" applyAlignment="1" applyProtection="1" pivotButton="0" quotePrefix="0" xfId="3">
      <alignment horizontal="center" vertical="center" wrapText="1"/>
      <protection locked="1" hidden="1"/>
    </xf>
    <xf numFmtId="173" fontId="14" fillId="18" borderId="26" applyAlignment="1" applyProtection="1" pivotButton="0" quotePrefix="0" xfId="7">
      <alignment horizontal="center" vertical="center" wrapText="1"/>
      <protection locked="1" hidden="1"/>
    </xf>
    <xf numFmtId="164" fontId="14" fillId="0" borderId="0" applyAlignment="1" applyProtection="1" pivotButton="0" quotePrefix="0" xfId="7">
      <alignment vertical="center" wrapText="1"/>
      <protection locked="0" hidden="0"/>
    </xf>
    <xf numFmtId="0" fontId="3" fillId="4" borderId="1" applyAlignment="1" applyProtection="1" pivotButton="0" quotePrefix="0" xfId="3">
      <alignment horizontal="center" vertical="center"/>
      <protection locked="0" hidden="0"/>
    </xf>
    <xf numFmtId="0" fontId="0" fillId="0" borderId="11" applyAlignment="1" applyProtection="1" pivotButton="0" quotePrefix="0" xfId="0">
      <alignment horizontal="center" vertical="center" wrapText="1"/>
      <protection locked="0" hidden="0"/>
    </xf>
    <xf numFmtId="0" fontId="0" fillId="0" borderId="12" applyAlignment="1" applyProtection="1" pivotButton="0" quotePrefix="0" xfId="0">
      <alignment horizontal="center" vertical="center" wrapText="1"/>
      <protection locked="0" hidden="0"/>
    </xf>
    <xf numFmtId="14" fontId="0" fillId="0" borderId="10" applyAlignment="1" applyProtection="1" pivotButton="0" quotePrefix="0" xfId="0">
      <alignment horizontal="center" vertical="center" wrapText="1"/>
      <protection locked="0" hidden="0"/>
    </xf>
    <xf numFmtId="0" fontId="3" fillId="4" borderId="1" applyAlignment="1" applyProtection="1" pivotButton="0" quotePrefix="0" xfId="3">
      <alignment horizontal="center" vertical="center" wrapText="1"/>
      <protection locked="0" hidden="0"/>
    </xf>
    <xf numFmtId="0" fontId="3" fillId="4" borderId="1" applyAlignment="1" pivotButton="0" quotePrefix="0" xfId="3">
      <alignment horizontal="center" vertical="center" wrapText="1"/>
    </xf>
    <xf numFmtId="0" fontId="3" fillId="4" borderId="1" applyAlignment="1" pivotButton="0" quotePrefix="0" xfId="3">
      <alignment horizontal="center" vertical="center"/>
    </xf>
    <xf numFmtId="168" fontId="0" fillId="0" borderId="10" applyAlignment="1" applyProtection="1" pivotButton="0" quotePrefix="0" xfId="0">
      <alignment horizontal="center" vertical="center" wrapText="1"/>
      <protection locked="0" hidden="0"/>
    </xf>
    <xf numFmtId="0" fontId="8" fillId="0" borderId="11" applyAlignment="1" pivotButton="0" quotePrefix="0" xfId="0">
      <alignment horizontal="center" vertical="center" wrapText="1"/>
    </xf>
    <xf numFmtId="0" fontId="8" fillId="0" borderId="12" applyAlignment="1" pivotButton="0" quotePrefix="0" xfId="0">
      <alignment horizontal="center" vertical="center" wrapText="1"/>
    </xf>
    <xf numFmtId="0" fontId="2" fillId="3" borderId="1" applyAlignment="1" pivotButton="0" quotePrefix="0" xfId="2">
      <alignment horizontal="center" vertical="center"/>
    </xf>
    <xf numFmtId="14" fontId="8" fillId="0" borderId="10" applyAlignment="1" applyProtection="1" pivotButton="0" quotePrefix="0" xfId="0">
      <alignment horizontal="center" vertical="center"/>
      <protection locked="0" hidden="0"/>
    </xf>
    <xf numFmtId="0" fontId="8" fillId="0" borderId="10" applyAlignment="1" pivotButton="0" quotePrefix="0" xfId="0">
      <alignment horizontal="center" vertical="center" wrapText="1"/>
    </xf>
    <xf numFmtId="168" fontId="5" fillId="0" borderId="10" applyAlignment="1" applyProtection="1" pivotButton="0" quotePrefix="0" xfId="0">
      <alignment horizontal="center" vertical="center" wrapText="1"/>
      <protection locked="0" hidden="0"/>
    </xf>
    <xf numFmtId="0" fontId="2" fillId="3" borderId="1" applyAlignment="1" pivotButton="0" quotePrefix="0" xfId="2">
      <alignment horizontal="center" vertical="center" wrapText="1"/>
    </xf>
    <xf numFmtId="0" fontId="2" fillId="3" borderId="1" applyAlignment="1" applyProtection="1" pivotButton="0" quotePrefix="0" xfId="2">
      <alignment horizontal="center" vertical="center"/>
      <protection locked="0" hidden="0"/>
    </xf>
    <xf numFmtId="14" fontId="7" fillId="0" borderId="10" applyAlignment="1" applyProtection="1" pivotButton="0" quotePrefix="0" xfId="0">
      <alignment horizontal="center" vertical="center"/>
      <protection locked="0" hidden="0"/>
    </xf>
    <xf numFmtId="0" fontId="7" fillId="0" borderId="10" applyAlignment="1" pivotButton="0" quotePrefix="0" xfId="0">
      <alignment horizontal="center" vertical="center" wrapText="1"/>
    </xf>
    <xf numFmtId="168" fontId="5" fillId="0" borderId="2" applyAlignment="1" pivotButton="0" quotePrefix="0" xfId="0">
      <alignment horizontal="center" vertical="center" wrapText="1"/>
    </xf>
    <xf numFmtId="168" fontId="5" fillId="0" borderId="10" applyAlignment="1" pivotButton="0" quotePrefix="0" xfId="0">
      <alignment horizontal="center" vertical="center" wrapText="1"/>
    </xf>
    <xf numFmtId="168" fontId="13" fillId="0" borderId="10" applyAlignment="1" applyProtection="1" pivotButton="0" quotePrefix="0" xfId="5">
      <alignment horizontal="center" vertical="center" wrapText="1"/>
      <protection locked="0" hidden="0"/>
    </xf>
    <xf numFmtId="0" fontId="10" fillId="16" borderId="10" applyAlignment="1" applyProtection="1" pivotButton="0" quotePrefix="0" xfId="5">
      <alignment horizontal="center" vertical="center" wrapText="1"/>
      <protection locked="0" hidden="0"/>
    </xf>
    <xf numFmtId="0" fontId="10" fillId="16" borderId="11" applyAlignment="1" applyProtection="1" pivotButton="0" quotePrefix="0" xfId="5">
      <alignment horizontal="center" vertical="center" wrapText="1"/>
      <protection locked="0" hidden="0"/>
    </xf>
    <xf numFmtId="0" fontId="10" fillId="16" borderId="12" applyAlignment="1" applyProtection="1" pivotButton="0" quotePrefix="0" xfId="5">
      <alignment horizontal="center" vertical="center" wrapText="1"/>
      <protection locked="0" hidden="0"/>
    </xf>
    <xf numFmtId="168" fontId="3" fillId="4" borderId="1" applyAlignment="1" applyProtection="1" pivotButton="0" quotePrefix="0" xfId="3">
      <alignment horizontal="center" vertical="center" wrapText="1"/>
      <protection locked="0" hidden="0"/>
    </xf>
    <xf numFmtId="168" fontId="3" fillId="4" borderId="32" applyAlignment="1" applyProtection="1" pivotButton="0" quotePrefix="0" xfId="3">
      <alignment horizontal="center" vertical="center"/>
      <protection locked="0" hidden="0"/>
    </xf>
    <xf numFmtId="168" fontId="2" fillId="3" borderId="32" applyAlignment="1" applyProtection="1" pivotButton="0" quotePrefix="0" xfId="2">
      <alignment horizontal="center" vertical="center"/>
      <protection locked="0" hidden="0"/>
    </xf>
    <xf numFmtId="168" fontId="3" fillId="4" borderId="23" applyAlignment="1" applyProtection="1" pivotButton="0" quotePrefix="0" xfId="3">
      <alignment horizontal="center" vertical="center" wrapText="1"/>
      <protection locked="0" hidden="0"/>
    </xf>
    <xf numFmtId="168" fontId="3" fillId="4" borderId="24" applyAlignment="1" applyProtection="1" pivotButton="0" quotePrefix="0" xfId="3">
      <alignment horizontal="center" vertical="center" wrapText="1"/>
      <protection locked="0" hidden="0"/>
    </xf>
    <xf numFmtId="168" fontId="3" fillId="4" borderId="25" applyAlignment="1" applyProtection="1" pivotButton="0" quotePrefix="0" xfId="3">
      <alignment horizontal="center" vertical="center" wrapText="1"/>
      <protection locked="0" hidden="0"/>
    </xf>
    <xf numFmtId="168" fontId="2" fillId="3" borderId="33" applyAlignment="1" applyProtection="1" pivotButton="0" quotePrefix="0" xfId="2">
      <alignment horizontal="center" vertical="center"/>
      <protection locked="0" hidden="0"/>
    </xf>
    <xf numFmtId="168" fontId="2" fillId="3" borderId="34" applyAlignment="1" applyProtection="1" pivotButton="0" quotePrefix="0" xfId="2">
      <alignment horizontal="center" vertical="center"/>
      <protection locked="0" hidden="0"/>
    </xf>
    <xf numFmtId="168" fontId="2" fillId="3" borderId="35" applyAlignment="1" applyProtection="1" pivotButton="0" quotePrefix="0" xfId="2">
      <alignment horizontal="center" vertical="center"/>
      <protection locked="0" hidden="0"/>
    </xf>
    <xf numFmtId="2" fontId="0" fillId="0" borderId="10" applyAlignment="1" applyProtection="1" pivotButton="0" quotePrefix="0" xfId="0">
      <alignment horizontal="center" vertical="center" wrapText="1"/>
      <protection locked="1" hidden="1"/>
    </xf>
    <xf numFmtId="0" fontId="2" fillId="0" borderId="1" applyAlignment="1" applyProtection="1" pivotButton="0" quotePrefix="0" xfId="2">
      <alignment horizontal="center" vertical="center"/>
      <protection locked="0" hidden="0"/>
    </xf>
    <xf numFmtId="0" fontId="2" fillId="0" borderId="1" applyAlignment="1" pivotButton="0" quotePrefix="0" xfId="2">
      <alignment horizontal="center" vertical="center"/>
    </xf>
    <xf numFmtId="0" fontId="2" fillId="0" borderId="1" applyAlignment="1" pivotButton="0" quotePrefix="0" xfId="2">
      <alignment horizontal="center" vertical="center" wrapText="1"/>
    </xf>
    <xf numFmtId="0" fontId="7" fillId="0" borderId="10" applyAlignment="1" applyProtection="1" pivotButton="0" quotePrefix="0" xfId="1">
      <alignment horizontal="center" vertical="center" wrapText="1"/>
      <protection locked="0" hidden="0"/>
    </xf>
    <xf numFmtId="0" fontId="7" fillId="0" borderId="10" applyAlignment="1" applyProtection="1" pivotButton="0" quotePrefix="0" xfId="5">
      <alignment horizontal="center" vertical="center" wrapText="1"/>
      <protection locked="0" hidden="0"/>
    </xf>
    <xf numFmtId="168" fontId="5" fillId="0" borderId="10" applyAlignment="1" applyProtection="1" pivotButton="0" quotePrefix="0" xfId="2">
      <alignment horizontal="center" vertical="center" wrapText="1"/>
      <protection locked="0" hidden="0"/>
    </xf>
    <xf numFmtId="168" fontId="3" fillId="4" borderId="41" applyAlignment="1" applyProtection="1" pivotButton="0" quotePrefix="0" xfId="3">
      <alignment horizontal="center" vertical="center" wrapText="1"/>
      <protection locked="0" hidden="0"/>
    </xf>
    <xf numFmtId="168" fontId="3" fillId="4" borderId="40" applyAlignment="1" applyProtection="1" pivotButton="0" quotePrefix="0" xfId="3">
      <alignment horizontal="center" vertical="center" wrapText="1"/>
      <protection locked="0" hidden="0"/>
    </xf>
    <xf numFmtId="168" fontId="3" fillId="4" borderId="43" applyAlignment="1" applyProtection="1" pivotButton="0" quotePrefix="0" xfId="3">
      <alignment horizontal="center" vertical="center" wrapText="1"/>
      <protection locked="0" hidden="0"/>
    </xf>
    <xf numFmtId="164" fontId="0" fillId="0" borderId="10" applyAlignment="1" applyProtection="1" pivotButton="0" quotePrefix="0" xfId="0">
      <alignment horizontal="center" vertical="center" wrapText="1"/>
      <protection locked="1" hidden="1"/>
    </xf>
    <xf numFmtId="164" fontId="0" fillId="8" borderId="2" applyAlignment="1" applyProtection="1" pivotButton="0" quotePrefix="0" xfId="0">
      <alignment horizontal="center" vertical="center" wrapText="1"/>
      <protection locked="1" hidden="1"/>
    </xf>
    <xf numFmtId="0" fontId="7" fillId="8" borderId="2" applyAlignment="1" pivotButton="0" quotePrefix="0" xfId="3">
      <alignment horizontal="center" vertical="center" wrapText="1"/>
    </xf>
    <xf numFmtId="2" fontId="7" fillId="8" borderId="2" applyAlignment="1" applyProtection="1" pivotButton="0" quotePrefix="0" xfId="0">
      <alignment horizontal="center" vertical="center" wrapText="1"/>
      <protection locked="1" hidden="1"/>
    </xf>
    <xf numFmtId="2" fontId="0" fillId="8" borderId="0" applyProtection="1" pivotButton="0" quotePrefix="0" xfId="0">
      <protection locked="0" hidden="0"/>
    </xf>
    <xf numFmtId="0" fontId="3" fillId="4" borderId="23" applyAlignment="1" applyProtection="1" pivotButton="0" quotePrefix="0" xfId="3">
      <alignment horizontal="center" vertical="center" wrapText="1"/>
      <protection locked="0" hidden="0"/>
    </xf>
    <xf numFmtId="0" fontId="3" fillId="4" borderId="23" applyAlignment="1" applyProtection="1" pivotButton="0" quotePrefix="0" xfId="3">
      <alignment horizontal="center" vertical="center"/>
      <protection locked="0" hidden="0"/>
    </xf>
    <xf numFmtId="0" fontId="3" fillId="4" borderId="25" applyAlignment="1" applyProtection="1" pivotButton="0" quotePrefix="0" xfId="3">
      <alignment horizontal="center" vertical="center" wrapText="1"/>
      <protection locked="0" hidden="0"/>
    </xf>
    <xf numFmtId="0" fontId="3" fillId="4" borderId="25" applyAlignment="1" applyProtection="1" pivotButton="0" quotePrefix="0" xfId="3">
      <alignment horizontal="center" vertical="center"/>
      <protection locked="0" hidden="0"/>
    </xf>
    <xf numFmtId="14" fontId="0" fillId="0" borderId="2" applyAlignment="1" applyProtection="1" pivotButton="0" quotePrefix="0" xfId="0">
      <alignment horizontal="center" vertical="center" wrapText="1"/>
      <protection locked="0" hidden="0"/>
    </xf>
    <xf numFmtId="0" fontId="3" fillId="4" borderId="2" applyAlignment="1" applyProtection="1" pivotButton="0" quotePrefix="0" xfId="3">
      <alignment horizontal="center" vertical="center" wrapText="1"/>
      <protection locked="0" hidden="0"/>
    </xf>
    <xf numFmtId="0" fontId="3" fillId="4" borderId="2" applyAlignment="1" applyProtection="1" pivotButton="0" quotePrefix="0" xfId="3">
      <alignment horizontal="center" vertical="center"/>
      <protection locked="0" hidden="0"/>
    </xf>
    <xf numFmtId="164" fontId="0" fillId="0" borderId="8" applyAlignment="1" applyProtection="1" pivotButton="0" quotePrefix="0" xfId="0">
      <alignment horizontal="center" vertical="center" wrapText="1"/>
      <protection locked="1" hidden="1"/>
    </xf>
    <xf numFmtId="0" fontId="7" fillId="0" borderId="2" applyAlignment="1" applyProtection="1" pivotButton="0" quotePrefix="0" xfId="5">
      <alignment horizontal="center" vertical="center" wrapText="1"/>
      <protection locked="0" hidden="0"/>
    </xf>
    <xf numFmtId="0" fontId="2" fillId="0" borderId="23" applyAlignment="1" applyProtection="1" pivotButton="0" quotePrefix="0" xfId="2">
      <alignment horizontal="center" vertical="center"/>
      <protection locked="0" hidden="0"/>
    </xf>
    <xf numFmtId="0" fontId="0" fillId="0" borderId="10" applyAlignment="1" applyProtection="1" pivotButton="0" quotePrefix="0" xfId="0">
      <alignment horizontal="center" vertical="center" wrapText="1"/>
      <protection locked="1" hidden="1"/>
    </xf>
    <xf numFmtId="0" fontId="7" fillId="12" borderId="10" applyAlignment="1" pivotButton="0" quotePrefix="0" xfId="3">
      <alignment horizontal="center" vertical="center" wrapText="1"/>
    </xf>
    <xf numFmtId="2" fontId="7" fillId="0" borderId="10" applyAlignment="1" applyProtection="1" pivotButton="0" quotePrefix="0" xfId="0">
      <alignment horizontal="center" vertical="center" wrapText="1"/>
      <protection locked="1" hidden="1"/>
    </xf>
    <xf numFmtId="168" fontId="5" fillId="0" borderId="2" applyAlignment="1" applyProtection="1" pivotButton="0" quotePrefix="0" xfId="2">
      <alignment horizontal="center" vertical="center" wrapText="1"/>
      <protection locked="0" hidden="0"/>
    </xf>
    <xf numFmtId="0" fontId="2" fillId="0" borderId="2" applyAlignment="1" applyProtection="1" pivotButton="0" quotePrefix="0" xfId="2">
      <alignment horizontal="center" vertical="center"/>
      <protection locked="0" hidden="0"/>
    </xf>
    <xf numFmtId="0" fontId="3" fillId="4" borderId="43" applyAlignment="1" applyProtection="1" pivotButton="0" quotePrefix="0" xfId="3">
      <alignment horizontal="center" vertical="center" wrapText="1"/>
      <protection locked="0" hidden="0"/>
    </xf>
    <xf numFmtId="0" fontId="3" fillId="4" borderId="45" applyAlignment="1" applyProtection="1" pivotButton="0" quotePrefix="0" xfId="3">
      <alignment horizontal="center" vertical="center" wrapText="1"/>
      <protection locked="0" hidden="0"/>
    </xf>
    <xf numFmtId="168" fontId="3" fillId="4" borderId="1" applyAlignment="1" applyProtection="1" pivotButton="0" quotePrefix="0" xfId="3">
      <alignment vertical="center" wrapText="1"/>
      <protection locked="0" hidden="0"/>
    </xf>
    <xf numFmtId="168" fontId="3" fillId="4" borderId="1" applyAlignment="1" applyProtection="1" pivotButton="0" quotePrefix="0" xfId="3">
      <alignment vertical="center"/>
      <protection locked="0" hidden="0"/>
    </xf>
    <xf numFmtId="168" fontId="2" fillId="3" borderId="1" applyAlignment="1" applyProtection="1" pivotButton="0" quotePrefix="0" xfId="2">
      <alignment vertical="center"/>
      <protection locked="0" hidden="0"/>
    </xf>
    <xf numFmtId="14" fontId="7" fillId="0" borderId="2" applyAlignment="1" applyProtection="1" pivotButton="0" quotePrefix="0" xfId="0">
      <alignment horizontal="center" vertical="center"/>
      <protection locked="0" hidden="0"/>
    </xf>
    <xf numFmtId="14" fontId="8" fillId="0" borderId="2" applyAlignment="1" applyProtection="1" pivotButton="0" quotePrefix="0" xfId="0">
      <alignment horizontal="center" vertical="center"/>
      <protection locked="0" hidden="0"/>
    </xf>
    <xf numFmtId="168" fontId="3" fillId="4" borderId="45" applyAlignment="1" applyProtection="1" pivotButton="0" quotePrefix="0" xfId="3">
      <alignment vertical="center" wrapText="1"/>
      <protection locked="0" hidden="0"/>
    </xf>
    <xf numFmtId="168" fontId="7" fillId="0" borderId="2" applyAlignment="1" applyProtection="1" pivotButton="0" quotePrefix="0" xfId="5">
      <alignment horizontal="center" vertical="center" wrapText="1"/>
      <protection locked="0" hidden="0"/>
    </xf>
    <xf numFmtId="168" fontId="3" fillId="4" borderId="45" applyAlignment="1" applyProtection="1" pivotButton="0" quotePrefix="0" xfId="3">
      <alignment horizontal="center" vertical="center" wrapText="1"/>
      <protection locked="0" hidden="0"/>
    </xf>
    <xf numFmtId="164" fontId="0" fillId="0" borderId="7" applyAlignment="1" applyProtection="1" pivotButton="0" quotePrefix="0" xfId="0">
      <alignment vertical="center" wrapText="1"/>
      <protection locked="0" hidden="0"/>
    </xf>
    <xf numFmtId="164" fontId="0" fillId="0" borderId="8" applyAlignment="1" applyProtection="1" pivotButton="0" quotePrefix="0" xfId="0">
      <alignment vertical="center" wrapText="1"/>
      <protection locked="0" hidden="0"/>
    </xf>
    <xf numFmtId="164" fontId="0" fillId="0" borderId="16" applyAlignment="1" applyProtection="1" pivotButton="0" quotePrefix="0" xfId="0">
      <alignment vertical="center" wrapText="1"/>
      <protection locked="0" hidden="0"/>
    </xf>
    <xf numFmtId="164" fontId="0" fillId="0" borderId="17" applyAlignment="1" applyProtection="1" pivotButton="0" quotePrefix="0" xfId="0">
      <alignment vertical="center" wrapText="1"/>
      <protection locked="0" hidden="0"/>
    </xf>
    <xf numFmtId="0" fontId="3" fillId="4" borderId="41" applyAlignment="1" applyProtection="1" pivotButton="0" quotePrefix="0" xfId="3">
      <alignment horizontal="center" vertical="center" wrapText="1"/>
      <protection locked="0" hidden="0"/>
    </xf>
    <xf numFmtId="0" fontId="3" fillId="4" borderId="8" applyAlignment="1" applyProtection="1" pivotButton="0" quotePrefix="0" xfId="3">
      <alignment horizontal="center" vertical="center" wrapText="1"/>
      <protection locked="0" hidden="0"/>
    </xf>
    <xf numFmtId="0" fontId="3" fillId="4" borderId="45" applyAlignment="1" pivotButton="0" quotePrefix="0" xfId="3">
      <alignment horizontal="center" vertical="center" wrapText="1"/>
    </xf>
    <xf numFmtId="0" fontId="7" fillId="0" borderId="2" applyAlignment="1" applyProtection="1" pivotButton="0" quotePrefix="0" xfId="1">
      <alignment horizontal="center" vertical="center" wrapText="1"/>
      <protection locked="0" hidden="0"/>
    </xf>
    <xf numFmtId="0" fontId="0" fillId="0" borderId="10" applyAlignment="1" applyProtection="1" pivotButton="0" quotePrefix="0" xfId="0">
      <alignment horizontal="center" vertical="center"/>
      <protection locked="0" hidden="0"/>
    </xf>
    <xf numFmtId="0" fontId="13" fillId="8" borderId="1" applyAlignment="1" applyProtection="1" pivotButton="0" quotePrefix="0" xfId="3">
      <alignment horizontal="center" vertical="center" wrapText="1"/>
      <protection locked="0" hidden="0"/>
    </xf>
    <xf numFmtId="0" fontId="13" fillId="8" borderId="1" applyAlignment="1" applyProtection="1" pivotButton="0" quotePrefix="0" xfId="3">
      <alignment horizontal="center" vertical="center"/>
      <protection locked="0" hidden="0"/>
    </xf>
    <xf numFmtId="168" fontId="7" fillId="8" borderId="2" applyAlignment="1" applyProtection="1" pivotButton="0" quotePrefix="0" xfId="0">
      <alignment horizontal="center" vertical="center" wrapText="1"/>
      <protection locked="0" hidden="0"/>
    </xf>
    <xf numFmtId="14" fontId="7" fillId="8" borderId="2" applyAlignment="1" applyProtection="1" pivotButton="0" quotePrefix="0" xfId="0">
      <alignment horizontal="center" vertical="center" wrapText="1"/>
      <protection locked="0" hidden="0"/>
    </xf>
    <xf numFmtId="168" fontId="13" fillId="8" borderId="2" applyAlignment="1" applyProtection="1" pivotButton="0" quotePrefix="0" xfId="0">
      <alignment horizontal="center" vertical="center" wrapText="1"/>
      <protection locked="0" hidden="0"/>
    </xf>
    <xf numFmtId="0" fontId="7" fillId="8" borderId="2" applyAlignment="1" applyProtection="1" pivotButton="0" quotePrefix="0" xfId="0">
      <alignment horizontal="center" vertical="center" wrapText="1"/>
      <protection locked="0" hidden="0"/>
    </xf>
    <xf numFmtId="168" fontId="13" fillId="8" borderId="45" applyAlignment="1" applyProtection="1" pivotButton="0" quotePrefix="0" xfId="3">
      <alignment horizontal="center" vertical="center" wrapText="1"/>
      <protection locked="0" hidden="0"/>
    </xf>
    <xf numFmtId="168" fontId="13" fillId="8" borderId="1" applyAlignment="1" applyProtection="1" pivotButton="0" quotePrefix="0" xfId="3">
      <alignment horizontal="center" vertical="center" wrapText="1"/>
      <protection locked="0" hidden="0"/>
    </xf>
    <xf numFmtId="168" fontId="13" fillId="8" borderId="32" applyAlignment="1" applyProtection="1" pivotButton="0" quotePrefix="0" xfId="3">
      <alignment horizontal="center" vertical="center"/>
      <protection locked="0" hidden="0"/>
    </xf>
    <xf numFmtId="164" fontId="7" fillId="8" borderId="2" applyAlignment="1" applyProtection="1" pivotButton="0" quotePrefix="0" xfId="0">
      <alignment horizontal="center" vertical="center" wrapText="1"/>
      <protection locked="1" hidden="1"/>
    </xf>
    <xf numFmtId="166" fontId="7" fillId="8" borderId="2" applyAlignment="1" applyProtection="1" pivotButton="0" quotePrefix="0" xfId="0">
      <alignment horizontal="center" vertical="center" wrapText="1"/>
      <protection locked="1" hidden="1"/>
    </xf>
    <xf numFmtId="166" fontId="7" fillId="8" borderId="2" applyAlignment="1" pivotButton="0" quotePrefix="0" xfId="0">
      <alignment horizontal="center" vertical="center" wrapText="1"/>
    </xf>
    <xf numFmtId="43" fontId="7" fillId="8" borderId="2" applyAlignment="1" applyProtection="1" pivotButton="0" quotePrefix="0" xfId="0">
      <alignment horizontal="center" vertical="center" wrapText="1"/>
      <protection locked="1" hidden="1"/>
    </xf>
    <xf numFmtId="166" fontId="7" fillId="8" borderId="2" applyAlignment="1" applyProtection="1" pivotButton="0" quotePrefix="0" xfId="0">
      <alignment vertical="center" wrapText="1"/>
      <protection locked="1" hidden="1"/>
    </xf>
    <xf numFmtId="166" fontId="7" fillId="8" borderId="2" applyAlignment="1" pivotButton="0" quotePrefix="0" xfId="0">
      <alignment vertical="center" wrapText="1"/>
    </xf>
    <xf numFmtId="167" fontId="7" fillId="8" borderId="0" pivotButton="0" quotePrefix="0" xfId="0"/>
    <xf numFmtId="0" fontId="7" fillId="8" borderId="0" pivotButton="0" quotePrefix="0" xfId="0"/>
    <xf numFmtId="168" fontId="13" fillId="8" borderId="45" applyAlignment="1" applyProtection="1" pivotButton="0" quotePrefix="0" xfId="3">
      <alignment vertical="center" wrapText="1"/>
      <protection locked="0" hidden="0"/>
    </xf>
    <xf numFmtId="168" fontId="13" fillId="8" borderId="1" applyAlignment="1" applyProtection="1" pivotButton="0" quotePrefix="0" xfId="3">
      <alignment vertical="center" wrapText="1"/>
      <protection locked="0" hidden="0"/>
    </xf>
    <xf numFmtId="168" fontId="13" fillId="8" borderId="1" applyAlignment="1" applyProtection="1" pivotButton="0" quotePrefix="0" xfId="3">
      <alignment vertical="center"/>
      <protection locked="0" hidden="0"/>
    </xf>
    <xf numFmtId="2" fontId="7" fillId="8" borderId="2" applyAlignment="1" applyProtection="1" pivotButton="0" quotePrefix="0" xfId="0">
      <alignment vertical="center" wrapText="1"/>
      <protection locked="1" hidden="1"/>
    </xf>
    <xf numFmtId="164" fontId="7" fillId="8" borderId="2" applyAlignment="1" applyProtection="1" pivotButton="0" quotePrefix="0" xfId="0">
      <alignment vertical="center" wrapText="1"/>
      <protection locked="1" hidden="1"/>
    </xf>
    <xf numFmtId="166" fontId="7" fillId="8" borderId="2" applyAlignment="1" applyProtection="1" pivotButton="0" quotePrefix="0" xfId="0">
      <alignment vertical="center" wrapText="1"/>
      <protection locked="0" hidden="0"/>
    </xf>
    <xf numFmtId="166" fontId="7" fillId="8" borderId="0" applyProtection="1" pivotButton="0" quotePrefix="0" xfId="0">
      <protection locked="0" hidden="0"/>
    </xf>
    <xf numFmtId="2" fontId="7" fillId="8" borderId="0" applyProtection="1" pivotButton="0" quotePrefix="0" xfId="0">
      <protection locked="0" hidden="0"/>
    </xf>
    <xf numFmtId="0" fontId="7" fillId="8" borderId="0" applyProtection="1" pivotButton="0" quotePrefix="0" xfId="0">
      <protection locked="0" hidden="0"/>
    </xf>
    <xf numFmtId="0" fontId="7" fillId="8" borderId="10" applyAlignment="1" applyProtection="1" pivotButton="0" quotePrefix="0" xfId="0">
      <alignment horizontal="center" vertical="center" wrapText="1"/>
      <protection locked="0" hidden="0"/>
    </xf>
    <xf numFmtId="14" fontId="7" fillId="8" borderId="10" applyAlignment="1" applyProtection="1" pivotButton="0" quotePrefix="0" xfId="0">
      <alignment horizontal="center" vertical="center" wrapText="1"/>
      <protection locked="0" hidden="0"/>
    </xf>
    <xf numFmtId="168" fontId="13" fillId="8" borderId="10" applyAlignment="1" applyProtection="1" pivotButton="0" quotePrefix="0" xfId="0">
      <alignment horizontal="center" vertical="center" wrapText="1"/>
      <protection locked="0" hidden="0"/>
    </xf>
    <xf numFmtId="0" fontId="7" fillId="8" borderId="2" applyAlignment="1" applyProtection="1" pivotButton="0" quotePrefix="0" xfId="0">
      <alignment horizontal="center" vertical="center" wrapText="1"/>
      <protection locked="1" hidden="1"/>
    </xf>
    <xf numFmtId="2" fontId="7" fillId="8" borderId="10" applyAlignment="1" applyProtection="1" pivotButton="0" quotePrefix="0" xfId="0">
      <alignment horizontal="center" vertical="center" wrapText="1"/>
      <protection locked="0" hidden="0"/>
    </xf>
    <xf numFmtId="168" fontId="13" fillId="8" borderId="2" applyAlignment="1" pivotButton="0" quotePrefix="0" xfId="0">
      <alignment horizontal="center" vertical="center" wrapText="1"/>
    </xf>
    <xf numFmtId="0" fontId="13" fillId="8" borderId="45" applyAlignment="1" applyProtection="1" pivotButton="0" quotePrefix="0" xfId="3">
      <alignment horizontal="center" vertical="center" wrapText="1"/>
      <protection locked="0" hidden="0"/>
    </xf>
    <xf numFmtId="2" fontId="7" fillId="8" borderId="2" applyAlignment="1" applyProtection="1" pivotButton="0" quotePrefix="0" xfId="0">
      <alignment horizontal="center" vertical="center" wrapText="1"/>
      <protection locked="0" hidden="0"/>
    </xf>
    <xf numFmtId="0" fontId="13" fillId="8" borderId="41" applyAlignment="1" applyProtection="1" pivotButton="0" quotePrefix="0" xfId="3">
      <alignment horizontal="center" vertical="center" wrapText="1"/>
      <protection locked="0" hidden="0"/>
    </xf>
    <xf numFmtId="0" fontId="13" fillId="8" borderId="23" applyAlignment="1" applyProtection="1" pivotButton="0" quotePrefix="0" xfId="3">
      <alignment horizontal="center" vertical="center" wrapText="1"/>
      <protection locked="0" hidden="0"/>
    </xf>
    <xf numFmtId="0" fontId="13" fillId="8" borderId="23" applyAlignment="1" applyProtection="1" pivotButton="0" quotePrefix="0" xfId="3">
      <alignment horizontal="center" vertical="center"/>
      <protection locked="0" hidden="0"/>
    </xf>
    <xf numFmtId="2" fontId="7" fillId="8" borderId="8" applyAlignment="1" applyProtection="1" pivotButton="0" quotePrefix="0" xfId="0">
      <alignment horizontal="center" vertical="center" wrapText="1"/>
      <protection locked="1" hidden="1"/>
    </xf>
    <xf numFmtId="2" fontId="7" fillId="8" borderId="10" applyAlignment="1" applyProtection="1" pivotButton="0" quotePrefix="0" xfId="1">
      <alignment horizontal="center" vertical="center" wrapText="1"/>
      <protection locked="0" hidden="0"/>
    </xf>
    <xf numFmtId="0" fontId="7" fillId="8" borderId="13" applyAlignment="1" applyProtection="1" pivotButton="0" quotePrefix="0" xfId="0">
      <alignment horizontal="center" vertical="center" wrapText="1"/>
      <protection locked="0" hidden="0"/>
    </xf>
    <xf numFmtId="2" fontId="7" fillId="8" borderId="12" applyAlignment="1" applyProtection="1" pivotButton="0" quotePrefix="0" xfId="0">
      <alignment horizontal="center" vertical="center" wrapText="1"/>
      <protection locked="0" hidden="0"/>
    </xf>
    <xf numFmtId="0" fontId="0" fillId="8" borderId="10" applyAlignment="1" applyProtection="1" pivotButton="0" quotePrefix="0" xfId="0">
      <alignment horizontal="center" vertical="center" wrapText="1"/>
      <protection locked="0" hidden="0"/>
    </xf>
    <xf numFmtId="2" fontId="0" fillId="17" borderId="2" applyAlignment="1" pivotButton="0" quotePrefix="0" xfId="0">
      <alignment horizontal="center" vertical="center" wrapText="1"/>
    </xf>
    <xf numFmtId="2" fontId="7" fillId="8" borderId="2" applyAlignment="1" pivotButton="0" quotePrefix="0" xfId="0">
      <alignment horizontal="center" vertical="center" wrapText="1"/>
    </xf>
    <xf numFmtId="2" fontId="7" fillId="17" borderId="2" applyAlignment="1" pivotButton="0" quotePrefix="0" xfId="0">
      <alignment horizontal="center" vertical="center" wrapText="1"/>
    </xf>
    <xf numFmtId="2" fontId="8" fillId="8" borderId="2" applyAlignment="1" pivotButton="0" quotePrefix="0" xfId="0">
      <alignment horizontal="center" vertical="center" wrapText="1"/>
    </xf>
    <xf numFmtId="2" fontId="8" fillId="17" borderId="2" applyAlignment="1" pivotButton="0" quotePrefix="0" xfId="0">
      <alignment horizontal="center" vertical="center" wrapText="1"/>
    </xf>
    <xf numFmtId="0" fontId="7" fillId="21" borderId="2" applyAlignment="1" pivotButton="0" quotePrefix="0" xfId="0">
      <alignment horizontal="center" vertical="center" wrapText="1"/>
    </xf>
    <xf numFmtId="0" fontId="8" fillId="21" borderId="2" applyAlignment="1" pivotButton="0" quotePrefix="0" xfId="0">
      <alignment horizontal="center" vertical="center" wrapText="1"/>
    </xf>
    <xf numFmtId="0" fontId="0" fillId="21" borderId="10" applyAlignment="1" applyProtection="1" pivotButton="0" quotePrefix="0" xfId="0">
      <alignment horizontal="center" vertical="center" wrapText="1"/>
      <protection locked="0" hidden="0"/>
    </xf>
    <xf numFmtId="164" fontId="0" fillId="17" borderId="2" applyAlignment="1" applyProtection="1" pivotButton="0" quotePrefix="0" xfId="0">
      <alignment horizontal="center" vertical="center" wrapText="1"/>
      <protection locked="0" hidden="0"/>
    </xf>
    <xf numFmtId="164" fontId="0" fillId="8" borderId="2" applyAlignment="1" applyProtection="1" pivotButton="0" quotePrefix="0" xfId="0">
      <alignment horizontal="center" vertical="center" wrapText="1"/>
      <protection locked="0" hidden="0"/>
    </xf>
    <xf numFmtId="164" fontId="0" fillId="12" borderId="2" applyAlignment="1" applyProtection="1" pivotButton="0" quotePrefix="0" xfId="0">
      <alignment horizontal="center" vertical="center" wrapText="1"/>
      <protection locked="0" hidden="0"/>
    </xf>
    <xf numFmtId="166" fontId="7" fillId="12" borderId="2" applyAlignment="1" pivotButton="0" quotePrefix="0" xfId="0">
      <alignment vertical="center" wrapText="1"/>
    </xf>
    <xf numFmtId="0" fontId="7" fillId="22" borderId="2" applyAlignment="1" pivotButton="0" quotePrefix="0" xfId="0">
      <alignment horizontal="center" vertical="center" wrapText="1"/>
    </xf>
    <xf numFmtId="0" fontId="8" fillId="22" borderId="2" applyAlignment="1" pivotButton="0" quotePrefix="0" xfId="0">
      <alignment horizontal="center" vertical="center" wrapText="1"/>
    </xf>
    <xf numFmtId="2" fontId="0" fillId="17" borderId="0" applyProtection="1" pivotButton="0" quotePrefix="0" xfId="0">
      <protection locked="0" hidden="0"/>
    </xf>
    <xf numFmtId="0" fontId="0" fillId="15" borderId="0" applyAlignment="1" pivotButton="0" quotePrefix="0" xfId="0">
      <alignment horizontal="center"/>
    </xf>
    <xf numFmtId="0" fontId="0" fillId="12" borderId="0" pivotButton="0" quotePrefix="0" xfId="0"/>
    <xf numFmtId="0" fontId="0" fillId="13" borderId="0" applyAlignment="1" pivotButton="0" quotePrefix="0" xfId="0">
      <alignment horizontal="center"/>
    </xf>
    <xf numFmtId="0" fontId="0" fillId="13" borderId="2" applyAlignment="1" pivotButton="0" quotePrefix="0" xfId="0">
      <alignment horizontal="center"/>
    </xf>
    <xf numFmtId="0" fontId="0" fillId="13" borderId="0" pivotButton="0" quotePrefix="0" xfId="0"/>
    <xf numFmtId="0" fontId="0" fillId="14" borderId="3" applyAlignment="1" pivotButton="0" quotePrefix="0" xfId="0">
      <alignment horizontal="center"/>
    </xf>
    <xf numFmtId="0" fontId="0" fillId="12" borderId="8" applyAlignment="1" pivotButton="0" quotePrefix="0" xfId="0">
      <alignment horizontal="center"/>
    </xf>
    <xf numFmtId="0" fontId="0" fillId="13" borderId="0" applyAlignment="1" pivotButton="0" quotePrefix="0" xfId="0">
      <alignment horizontal="right"/>
    </xf>
    <xf numFmtId="0" fontId="0" fillId="14" borderId="0" applyAlignment="1" pivotButton="0" quotePrefix="0" xfId="0">
      <alignment horizontal="center"/>
    </xf>
    <xf numFmtId="0" fontId="7" fillId="14" borderId="2" applyAlignment="1" pivotButton="0" quotePrefix="0" xfId="0">
      <alignment horizontal="center"/>
    </xf>
    <xf numFmtId="0" fontId="0" fillId="8" borderId="0" pivotButton="0" quotePrefix="0" xfId="0"/>
    <xf numFmtId="10" fontId="0" fillId="23" borderId="2" applyAlignment="1" applyProtection="1" pivotButton="0" quotePrefix="0" xfId="0">
      <alignment horizontal="center" vertical="center" wrapText="1"/>
      <protection locked="0" hidden="0"/>
    </xf>
    <xf numFmtId="164" fontId="0" fillId="23" borderId="2" applyAlignment="1" applyProtection="1" pivotButton="0" quotePrefix="0" xfId="0">
      <alignment horizontal="center" vertical="center" wrapText="1"/>
      <protection locked="0" hidden="0"/>
    </xf>
    <xf numFmtId="164" fontId="7" fillId="0" borderId="0" applyAlignment="1" applyProtection="1" pivotButton="0" quotePrefix="0" xfId="0">
      <alignment horizontal="center" vertical="center" wrapText="1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4" fontId="7" fillId="18" borderId="26" applyAlignment="1" applyProtection="1" pivotButton="0" quotePrefix="0" xfId="7">
      <alignment vertical="center" wrapText="1"/>
      <protection locked="0" hidden="0"/>
    </xf>
    <xf numFmtId="164" fontId="7" fillId="0" borderId="0" applyAlignment="1" applyProtection="1" pivotButton="0" quotePrefix="0" xfId="0">
      <alignment vertical="center" wrapText="1"/>
      <protection locked="0" hidden="0"/>
    </xf>
    <xf numFmtId="0" fontId="7" fillId="0" borderId="0" applyProtection="1" pivotButton="0" quotePrefix="0" xfId="0">
      <protection locked="0" hidden="0"/>
    </xf>
    <xf numFmtId="164" fontId="13" fillId="4" borderId="1" applyAlignment="1" applyProtection="1" pivotButton="0" quotePrefix="0" xfId="3">
      <alignment vertical="center" wrapText="1"/>
      <protection locked="0" hidden="0"/>
    </xf>
    <xf numFmtId="164" fontId="7" fillId="0" borderId="4" applyAlignment="1" applyProtection="1" pivotButton="0" quotePrefix="0" xfId="0">
      <alignment vertical="center" wrapText="1"/>
      <protection locked="0" hidden="0"/>
    </xf>
    <xf numFmtId="164" fontId="7" fillId="6" borderId="7" applyAlignment="1" pivotButton="0" quotePrefix="0" xfId="0">
      <alignment horizontal="center" wrapText="1"/>
    </xf>
    <xf numFmtId="164" fontId="7" fillId="10" borderId="2" applyAlignment="1" pivotButton="0" quotePrefix="0" xfId="0">
      <alignment horizontal="center" vertical="center" wrapText="1"/>
    </xf>
    <xf numFmtId="164" fontId="7" fillId="24" borderId="2" applyAlignment="1" pivotButton="0" quotePrefix="0" xfId="0">
      <alignment horizontal="center" vertical="center" wrapText="1"/>
    </xf>
    <xf numFmtId="164" fontId="7" fillId="20" borderId="2" applyAlignment="1" pivotButton="0" quotePrefix="0" xfId="0">
      <alignment horizontal="center" vertical="center" wrapText="1"/>
    </xf>
    <xf numFmtId="164" fontId="7" fillId="0" borderId="8" applyAlignment="1" pivotButton="0" quotePrefix="0" xfId="0">
      <alignment horizontal="center" vertical="center" wrapText="1"/>
    </xf>
    <xf numFmtId="10" fontId="7" fillId="13" borderId="2" applyAlignment="1" pivotButton="0" quotePrefix="0" xfId="0">
      <alignment horizontal="center" vertical="center" wrapText="1"/>
    </xf>
    <xf numFmtId="10" fontId="7" fillId="0" borderId="2" applyAlignment="1" pivotButton="0" quotePrefix="0" xfId="0">
      <alignment horizontal="center" vertical="center" wrapText="1"/>
    </xf>
    <xf numFmtId="0" fontId="7" fillId="0" borderId="2" applyAlignment="1" applyProtection="1" pivotButton="0" quotePrefix="0" xfId="0">
      <alignment horizontal="center" vertical="center" wrapText="1"/>
      <protection locked="0" hidden="0"/>
    </xf>
    <xf numFmtId="166" fontId="7" fillId="0" borderId="2" applyAlignment="1" pivotButton="0" quotePrefix="0" xfId="0">
      <alignment horizontal="center" vertical="center" wrapText="1"/>
    </xf>
    <xf numFmtId="166" fontId="7" fillId="18" borderId="26" applyAlignment="1" pivotButton="0" quotePrefix="0" xfId="7">
      <alignment horizontal="center" vertical="center" wrapText="1"/>
    </xf>
    <xf numFmtId="166" fontId="13" fillId="0" borderId="1" applyAlignment="1" pivotButton="0" quotePrefix="0" xfId="3">
      <alignment horizontal="center" vertical="center" wrapText="1"/>
    </xf>
    <xf numFmtId="168" fontId="13" fillId="4" borderId="1" applyAlignment="1" applyProtection="1" pivotButton="0" quotePrefix="0" xfId="3">
      <alignment horizontal="center" vertical="center" wrapText="1"/>
      <protection locked="1" hidden="1"/>
    </xf>
    <xf numFmtId="169" fontId="13" fillId="4" borderId="1" applyAlignment="1" applyProtection="1" pivotButton="0" quotePrefix="0" xfId="3">
      <alignment horizontal="center" vertical="center" wrapText="1"/>
      <protection locked="1" hidden="1"/>
    </xf>
    <xf numFmtId="170" fontId="7" fillId="13" borderId="2" applyAlignment="1" pivotButton="0" quotePrefix="0" xfId="0">
      <alignment horizontal="center" vertical="center" wrapText="1"/>
    </xf>
    <xf numFmtId="168" fontId="7" fillId="18" borderId="26" applyAlignment="1" applyProtection="1" pivotButton="0" quotePrefix="0" xfId="7">
      <alignment horizontal="center" vertical="center" wrapText="1"/>
      <protection locked="1" hidden="1"/>
    </xf>
    <xf numFmtId="169" fontId="7" fillId="18" borderId="26" applyAlignment="1" applyProtection="1" pivotButton="0" quotePrefix="0" xfId="7">
      <alignment horizontal="center" vertical="center" wrapText="1"/>
      <protection locked="1" hidden="1"/>
    </xf>
    <xf numFmtId="171" fontId="7" fillId="13" borderId="2" applyAlignment="1" pivotButton="0" quotePrefix="0" xfId="0">
      <alignment horizontal="center" vertical="center" wrapText="1"/>
    </xf>
    <xf numFmtId="168" fontId="13" fillId="0" borderId="1" applyAlignment="1" applyProtection="1" pivotButton="0" quotePrefix="0" xfId="3">
      <alignment horizontal="center" vertical="center" wrapText="1"/>
      <protection locked="1" hidden="1"/>
    </xf>
    <xf numFmtId="169" fontId="13" fillId="0" borderId="1" applyAlignment="1" applyProtection="1" pivotButton="0" quotePrefix="0" xfId="3">
      <alignment horizontal="center" vertical="center" wrapText="1"/>
      <protection locked="1" hidden="1"/>
    </xf>
    <xf numFmtId="170" fontId="7" fillId="0" borderId="2" applyAlignment="1" pivotButton="0" quotePrefix="0" xfId="0">
      <alignment horizontal="center" vertical="center" wrapText="1"/>
    </xf>
    <xf numFmtId="168" fontId="7" fillId="0" borderId="26" applyAlignment="1" applyProtection="1" pivotButton="0" quotePrefix="0" xfId="7">
      <alignment horizontal="center" vertical="center" wrapText="1"/>
      <protection locked="1" hidden="1"/>
    </xf>
    <xf numFmtId="169" fontId="7" fillId="0" borderId="26" applyAlignment="1" applyProtection="1" pivotButton="0" quotePrefix="0" xfId="7">
      <alignment horizontal="center" vertical="center" wrapText="1"/>
      <protection locked="1" hidden="1"/>
    </xf>
    <xf numFmtId="171" fontId="7" fillId="0" borderId="2" applyAlignment="1" pivotButton="0" quotePrefix="0" xfId="0">
      <alignment horizontal="center" vertical="center" wrapText="1"/>
    </xf>
    <xf numFmtId="168" fontId="0" fillId="8" borderId="10" applyAlignment="1" applyProtection="1" pivotButton="0" quotePrefix="0" xfId="0">
      <alignment horizontal="center" vertical="center" wrapText="1"/>
      <protection locked="0" hidden="0"/>
    </xf>
    <xf numFmtId="14" fontId="0" fillId="8" borderId="10" applyAlignment="1" applyProtection="1" pivotButton="0" quotePrefix="0" xfId="0">
      <alignment horizontal="center" vertical="center" wrapText="1"/>
      <protection locked="0" hidden="0"/>
    </xf>
    <xf numFmtId="168" fontId="5" fillId="8" borderId="2" applyAlignment="1" pivotButton="0" quotePrefix="0" xfId="0">
      <alignment horizontal="center" vertical="center" wrapText="1"/>
    </xf>
    <xf numFmtId="0" fontId="3" fillId="8" borderId="1" applyAlignment="1" applyProtection="1" pivotButton="0" quotePrefix="0" xfId="3">
      <alignment horizontal="center" vertical="center" wrapText="1"/>
      <protection locked="0" hidden="0"/>
    </xf>
    <xf numFmtId="0" fontId="3" fillId="8" borderId="1" applyAlignment="1" applyProtection="1" pivotButton="0" quotePrefix="0" xfId="3">
      <alignment horizontal="center" vertical="center"/>
      <protection locked="0" hidden="0"/>
    </xf>
    <xf numFmtId="0" fontId="0" fillId="8" borderId="10" applyAlignment="1" applyProtection="1" pivotButton="0" quotePrefix="0" xfId="0">
      <alignment horizontal="center" vertical="center"/>
      <protection locked="0" hidden="0"/>
    </xf>
    <xf numFmtId="2" fontId="0" fillId="8" borderId="0" applyAlignment="1" applyProtection="1" pivotButton="0" quotePrefix="0" xfId="0">
      <alignment horizontal="center"/>
      <protection locked="0" hidden="0"/>
    </xf>
    <xf numFmtId="2" fontId="4" fillId="8" borderId="2" applyAlignment="1" applyProtection="1" pivotButton="0" quotePrefix="0" xfId="0">
      <alignment horizontal="center" vertical="center" wrapText="1"/>
      <protection locked="1" hidden="1"/>
    </xf>
    <xf numFmtId="0" fontId="0" fillId="8" borderId="2" applyAlignment="1" applyProtection="1" pivotButton="0" quotePrefix="0" xfId="0">
      <alignment horizontal="center" vertical="center" wrapText="1"/>
      <protection locked="0" hidden="0"/>
    </xf>
    <xf numFmtId="14" fontId="0" fillId="8" borderId="2" applyAlignment="1" applyProtection="1" pivotButton="0" quotePrefix="0" xfId="0">
      <alignment horizontal="center" vertical="center" wrapText="1"/>
      <protection locked="0" hidden="0"/>
    </xf>
    <xf numFmtId="0" fontId="3" fillId="8" borderId="45" applyAlignment="1" applyProtection="1" pivotButton="0" quotePrefix="0" xfId="3">
      <alignment horizontal="center" vertical="center" wrapText="1"/>
      <protection locked="0" hidden="0"/>
    </xf>
    <xf numFmtId="0" fontId="3" fillId="8" borderId="41" applyAlignment="1" applyProtection="1" pivotButton="0" quotePrefix="0" xfId="3">
      <alignment horizontal="center" vertical="center" wrapText="1"/>
      <protection locked="0" hidden="0"/>
    </xf>
    <xf numFmtId="0" fontId="3" fillId="8" borderId="23" applyAlignment="1" applyProtection="1" pivotButton="0" quotePrefix="0" xfId="3">
      <alignment horizontal="center" vertical="center" wrapText="1"/>
      <protection locked="0" hidden="0"/>
    </xf>
    <xf numFmtId="0" fontId="3" fillId="8" borderId="23" applyAlignment="1" applyProtection="1" pivotButton="0" quotePrefix="0" xfId="3">
      <alignment horizontal="center" vertical="center"/>
      <protection locked="0" hidden="0"/>
    </xf>
    <xf numFmtId="0" fontId="0" fillId="15" borderId="2" applyAlignment="1" pivotButton="0" quotePrefix="0" xfId="0">
      <alignment horizontal="center" vertical="center"/>
    </xf>
    <xf numFmtId="14" fontId="0" fillId="0" borderId="0" pivotButton="0" quotePrefix="0" xfId="0"/>
    <xf numFmtId="14" fontId="0" fillId="0" borderId="0" applyAlignment="1" pivotButton="0" quotePrefix="0" xfId="0">
      <alignment horizontal="center"/>
    </xf>
    <xf numFmtId="0" fontId="0" fillId="17" borderId="2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14" fontId="0" fillId="0" borderId="2" applyAlignment="1" pivotButton="0" quotePrefix="0" xfId="0">
      <alignment horizontal="center"/>
    </xf>
    <xf numFmtId="0" fontId="2" fillId="3" borderId="2" applyAlignment="1" applyProtection="1" pivotButton="0" quotePrefix="0" xfId="2">
      <alignment horizontal="center" vertical="center"/>
      <protection locked="0" hidden="0"/>
    </xf>
    <xf numFmtId="0" fontId="3" fillId="4" borderId="2" applyAlignment="1" pivotButton="0" quotePrefix="0" xfId="3">
      <alignment horizontal="center" vertical="center" wrapText="1"/>
    </xf>
    <xf numFmtId="0" fontId="0" fillId="0" borderId="17" applyAlignment="1" applyProtection="1" pivotButton="0" quotePrefix="0" xfId="0">
      <alignment horizontal="center" vertical="center" wrapText="1"/>
      <protection locked="0" hidden="0"/>
    </xf>
    <xf numFmtId="0" fontId="0" fillId="0" borderId="8" applyAlignment="1" applyProtection="1" pivotButton="0" quotePrefix="0" xfId="0">
      <alignment horizontal="center" vertical="center" wrapText="1"/>
      <protection locked="0" hidden="0"/>
    </xf>
    <xf numFmtId="2" fontId="0" fillId="13" borderId="10" applyAlignment="1" applyProtection="1" pivotButton="0" quotePrefix="0" xfId="0">
      <alignment horizontal="center" vertical="center" wrapText="1"/>
      <protection locked="0" hidden="0"/>
    </xf>
    <xf numFmtId="2" fontId="0" fillId="13" borderId="2" applyAlignment="1" applyProtection="1" pivotButton="0" quotePrefix="0" xfId="0">
      <alignment horizontal="center" vertical="center" wrapText="1"/>
      <protection locked="0" hidden="0"/>
    </xf>
    <xf numFmtId="0" fontId="7" fillId="14" borderId="2" applyAlignment="1" pivotButton="0" quotePrefix="0" xfId="3">
      <alignment horizontal="center" vertical="center" wrapText="1"/>
    </xf>
    <xf numFmtId="164" fontId="0" fillId="0" borderId="2" applyAlignment="1" applyProtection="1" pivotButton="0" quotePrefix="0" xfId="0">
      <alignment horizontal="right" vertical="center" wrapText="1"/>
      <protection locked="0" hidden="0"/>
    </xf>
    <xf numFmtId="0" fontId="7" fillId="0" borderId="2" applyAlignment="1" pivotButton="0" quotePrefix="0" xfId="3">
      <alignment horizontal="center" vertical="center" wrapText="1"/>
    </xf>
    <xf numFmtId="164" fontId="0" fillId="8" borderId="2" applyAlignment="1" pivotButton="0" quotePrefix="0" xfId="0">
      <alignment horizontal="center" vertical="center" wrapText="1"/>
    </xf>
    <xf numFmtId="0" fontId="10" fillId="16" borderId="2" applyAlignment="1" applyProtection="1" pivotButton="0" quotePrefix="0" xfId="5">
      <alignment horizontal="center" vertical="center" wrapText="1"/>
      <protection locked="0" hidden="0"/>
    </xf>
    <xf numFmtId="0" fontId="10" fillId="16" borderId="2" applyAlignment="1" applyProtection="1" pivotButton="0" quotePrefix="0" xfId="5">
      <alignment horizontal="center"/>
      <protection locked="0" hidden="0"/>
    </xf>
    <xf numFmtId="165" fontId="0" fillId="0" borderId="2" applyAlignment="1" applyProtection="1" pivotButton="0" quotePrefix="0" xfId="0">
      <alignment horizontal="center" vertical="center" wrapText="1"/>
      <protection locked="1" hidden="1"/>
    </xf>
    <xf numFmtId="165" fontId="0" fillId="13" borderId="2" applyAlignment="1" applyProtection="1" pivotButton="0" quotePrefix="0" xfId="0">
      <alignment horizontal="center" vertical="center" wrapText="1"/>
      <protection locked="1" hidden="1"/>
    </xf>
    <xf numFmtId="165" fontId="0" fillId="8" borderId="2" applyAlignment="1" applyProtection="1" pivotButton="0" quotePrefix="0" xfId="0">
      <alignment horizontal="center" vertical="center" wrapText="1"/>
      <protection locked="1" hidden="1"/>
    </xf>
    <xf numFmtId="0" fontId="7" fillId="8" borderId="2" applyAlignment="1" pivotButton="0" quotePrefix="0" xfId="0">
      <alignment horizontal="center" vertical="center" wrapText="1"/>
    </xf>
    <xf numFmtId="168" fontId="7" fillId="0" borderId="2" applyAlignment="1" applyProtection="1" pivotButton="0" quotePrefix="0" xfId="0">
      <alignment horizontal="center" vertical="center" wrapText="1"/>
      <protection locked="0" hidden="0"/>
    </xf>
    <xf numFmtId="164" fontId="7" fillId="0" borderId="2" applyAlignment="1" applyProtection="1" pivotButton="0" quotePrefix="0" xfId="0">
      <alignment horizontal="center" vertical="center" wrapText="1"/>
      <protection locked="1" hidden="1"/>
    </xf>
    <xf numFmtId="165" fontId="7" fillId="0" borderId="2" applyAlignment="1" applyProtection="1" pivotButton="0" quotePrefix="0" xfId="0">
      <alignment horizontal="center" vertical="center" wrapText="1"/>
      <protection locked="1" hidden="1"/>
    </xf>
    <xf numFmtId="166" fontId="7" fillId="0" borderId="2" applyAlignment="1" applyProtection="1" pivotButton="0" quotePrefix="0" xfId="0">
      <alignment horizontal="center" vertical="center" wrapText="1"/>
      <protection locked="1" hidden="1"/>
    </xf>
    <xf numFmtId="43" fontId="7" fillId="0" borderId="2" applyAlignment="1" applyProtection="1" pivotButton="0" quotePrefix="0" xfId="0">
      <alignment horizontal="center" vertical="center" wrapText="1"/>
      <protection locked="1" hidden="1"/>
    </xf>
    <xf numFmtId="0" fontId="7" fillId="0" borderId="0" pivotButton="0" quotePrefix="0" xfId="0"/>
    <xf numFmtId="168" fontId="10" fillId="0" borderId="2" applyAlignment="1" applyProtection="1" pivotButton="0" quotePrefix="0" xfId="5">
      <alignment horizontal="center" vertical="center" wrapText="1"/>
      <protection locked="0" hidden="0"/>
    </xf>
    <xf numFmtId="166" fontId="0" fillId="14" borderId="2" applyAlignment="1" pivotButton="0" quotePrefix="0" xfId="0">
      <alignment horizontal="center" vertical="center" wrapText="1"/>
    </xf>
    <xf numFmtId="166" fontId="7" fillId="14" borderId="2" applyAlignment="1" pivotButton="0" quotePrefix="0" xfId="3">
      <alignment horizontal="center" vertical="center" wrapText="1"/>
    </xf>
    <xf numFmtId="166" fontId="0" fillId="0" borderId="0" applyAlignment="1" pivotButton="0" quotePrefix="0" xfId="0">
      <alignment horizontal="center"/>
    </xf>
    <xf numFmtId="166" fontId="7" fillId="0" borderId="2" applyAlignment="1" pivotButton="0" quotePrefix="0" xfId="3">
      <alignment horizontal="center" vertical="center" wrapText="1"/>
    </xf>
    <xf numFmtId="164" fontId="7" fillId="0" borderId="2" applyAlignment="1" applyProtection="1" pivotButton="0" quotePrefix="0" xfId="0">
      <alignment horizontal="center" vertical="center" wrapText="1"/>
      <protection locked="0" hidden="0"/>
    </xf>
    <xf numFmtId="168" fontId="13" fillId="0" borderId="2" applyAlignment="1" applyProtection="1" pivotButton="0" quotePrefix="0" xfId="0">
      <alignment horizontal="center" vertical="center" wrapText="1"/>
      <protection locked="0" hidden="0"/>
    </xf>
    <xf numFmtId="166" fontId="7" fillId="0" borderId="2" applyAlignment="1" applyProtection="1" pivotButton="0" quotePrefix="0" xfId="0">
      <alignment vertical="center" wrapText="1"/>
      <protection locked="1" hidden="1"/>
    </xf>
    <xf numFmtId="2" fontId="7" fillId="0" borderId="2" applyAlignment="1" applyProtection="1" pivotButton="0" quotePrefix="0" xfId="0">
      <alignment vertical="center" wrapText="1"/>
      <protection locked="1" hidden="1"/>
    </xf>
    <xf numFmtId="164" fontId="7" fillId="0" borderId="2" applyAlignment="1" applyProtection="1" pivotButton="0" quotePrefix="0" xfId="0">
      <alignment vertical="center" wrapText="1"/>
      <protection locked="1" hidden="1"/>
    </xf>
    <xf numFmtId="168" fontId="0" fillId="0" borderId="2" applyAlignment="1" applyProtection="1" pivotButton="0" quotePrefix="0" xfId="0">
      <alignment horizontal="right" vertical="center" wrapText="1"/>
      <protection locked="0" hidden="0"/>
    </xf>
    <xf numFmtId="168" fontId="7" fillId="0" borderId="2" applyAlignment="1" applyProtection="1" pivotButton="0" quotePrefix="0" xfId="0">
      <alignment horizontal="right" vertical="center" wrapText="1"/>
      <protection locked="0" hidden="0"/>
    </xf>
    <xf numFmtId="168" fontId="7" fillId="0" borderId="2" applyAlignment="1" applyProtection="1" pivotButton="0" quotePrefix="0" xfId="5">
      <alignment horizontal="right" vertical="center" wrapText="1"/>
      <protection locked="0" hidden="0"/>
    </xf>
    <xf numFmtId="0" fontId="0" fillId="0" borderId="2" applyAlignment="1" applyProtection="1" pivotButton="0" quotePrefix="0" xfId="0">
      <alignment horizontal="right" vertical="center" wrapText="1"/>
      <protection locked="0" hidden="0"/>
    </xf>
    <xf numFmtId="0" fontId="0" fillId="0" borderId="0" applyAlignment="1" applyProtection="1" pivotButton="0" quotePrefix="0" xfId="0">
      <alignment horizontal="right" vertical="center"/>
      <protection locked="0" hidden="0"/>
    </xf>
    <xf numFmtId="164" fontId="0" fillId="6" borderId="2" applyAlignment="1" applyProtection="1" pivotButton="0" quotePrefix="0" xfId="0">
      <alignment horizontal="center" vertical="center" wrapText="1"/>
      <protection locked="0" hidden="0"/>
    </xf>
    <xf numFmtId="168" fontId="3" fillId="4" borderId="2" applyAlignment="1" applyProtection="1" pivotButton="0" quotePrefix="0" xfId="3">
      <alignment vertical="center" wrapText="1"/>
      <protection locked="0" hidden="0"/>
    </xf>
    <xf numFmtId="168" fontId="3" fillId="4" borderId="2" applyAlignment="1" applyProtection="1" pivotButton="0" quotePrefix="0" xfId="3">
      <alignment vertical="center"/>
      <protection locked="0" hidden="0"/>
    </xf>
    <xf numFmtId="166" fontId="0" fillId="0" borderId="2" applyAlignment="1" applyProtection="1" pivotButton="0" quotePrefix="0" xfId="0">
      <alignment horizontal="center" vertical="center"/>
      <protection locked="0" hidden="0"/>
    </xf>
    <xf numFmtId="166" fontId="7" fillId="0" borderId="2" applyAlignment="1" applyProtection="1" pivotButton="0" quotePrefix="0" xfId="0">
      <alignment horizontal="center" vertical="center"/>
      <protection locked="0" hidden="0"/>
    </xf>
    <xf numFmtId="168" fontId="2" fillId="3" borderId="2" applyAlignment="1" applyProtection="1" pivotButton="0" quotePrefix="0" xfId="2">
      <alignment vertical="center"/>
      <protection locked="0" hidden="0"/>
    </xf>
    <xf numFmtId="2" fontId="10" fillId="16" borderId="2" applyAlignment="1" applyProtection="1" pivotButton="0" quotePrefix="0" xfId="5">
      <alignment horizontal="center" vertical="center"/>
      <protection locked="0" hidden="0"/>
    </xf>
    <xf numFmtId="0" fontId="10" fillId="16" borderId="2" applyAlignment="1" applyProtection="1" pivotButton="0" quotePrefix="0" xfId="5">
      <alignment horizontal="center" vertical="center"/>
      <protection locked="0" hidden="0"/>
    </xf>
    <xf numFmtId="164" fontId="0" fillId="6" borderId="2" applyAlignment="1" applyProtection="1" pivotButton="0" quotePrefix="0" xfId="0">
      <alignment horizontal="center" wrapText="1"/>
      <protection locked="0" hidden="0"/>
    </xf>
    <xf numFmtId="166" fontId="0" fillId="0" borderId="2" applyAlignment="1" applyProtection="1" pivotButton="0" quotePrefix="0" xfId="0">
      <alignment horizontal="center" vertical="center" wrapText="1"/>
      <protection locked="0" hidden="0"/>
    </xf>
    <xf numFmtId="168" fontId="3" fillId="4" borderId="2" applyAlignment="1" applyProtection="1" pivotButton="0" quotePrefix="0" xfId="3">
      <alignment horizontal="center" vertical="center" wrapText="1"/>
      <protection locked="0" hidden="0"/>
    </xf>
    <xf numFmtId="168" fontId="3" fillId="4" borderId="2" applyAlignment="1" applyProtection="1" pivotButton="0" quotePrefix="0" xfId="3">
      <alignment horizontal="center" vertical="center"/>
      <protection locked="0" hidden="0"/>
    </xf>
    <xf numFmtId="168" fontId="2" fillId="3" borderId="2" applyAlignment="1" applyProtection="1" pivotButton="0" quotePrefix="0" xfId="2">
      <alignment horizontal="center" vertical="center"/>
      <protection locked="0" hidden="0"/>
    </xf>
    <xf numFmtId="2" fontId="10" fillId="16" borderId="2" applyProtection="1" pivotButton="0" quotePrefix="0" xfId="5">
      <protection locked="0" hidden="0"/>
    </xf>
    <xf numFmtId="0" fontId="10" fillId="16" borderId="2" applyProtection="1" pivotButton="0" quotePrefix="0" xfId="5">
      <protection locked="0" hidden="0"/>
    </xf>
    <xf numFmtId="167" fontId="0" fillId="0" borderId="2" applyAlignment="1" pivotButton="0" quotePrefix="0" xfId="0">
      <alignment horizontal="center"/>
    </xf>
    <xf numFmtId="167" fontId="7" fillId="0" borderId="2" applyAlignment="1" pivotButton="0" quotePrefix="0" xfId="0">
      <alignment horizontal="center"/>
    </xf>
    <xf numFmtId="2" fontId="10" fillId="16" borderId="2" applyAlignment="1" applyProtection="1" pivotButton="0" quotePrefix="0" xfId="5">
      <alignment horizontal="center"/>
      <protection locked="0" hidden="0"/>
    </xf>
    <xf numFmtId="2" fontId="7" fillId="13" borderId="2" applyAlignment="1" applyProtection="1" pivotButton="0" quotePrefix="0" xfId="0">
      <alignment horizontal="center"/>
      <protection locked="0" hidden="0"/>
    </xf>
    <xf numFmtId="2" fontId="0" fillId="0" borderId="2" applyAlignment="1" applyProtection="1" pivotButton="0" quotePrefix="0" xfId="0">
      <alignment horizontal="center"/>
      <protection locked="0" hidden="0"/>
    </xf>
    <xf numFmtId="2" fontId="7" fillId="0" borderId="2" applyAlignment="1" applyProtection="1" pivotButton="0" quotePrefix="0" xfId="0">
      <alignment horizontal="center"/>
      <protection locked="0" hidden="0"/>
    </xf>
    <xf numFmtId="0" fontId="0" fillId="0" borderId="0" applyAlignment="1" pivotButton="0" quotePrefix="0" xfId="0">
      <alignment horizontal="right"/>
    </xf>
    <xf numFmtId="0" fontId="0" fillId="0" borderId="2" applyAlignment="1" applyProtection="1" pivotButton="0" quotePrefix="0" xfId="0">
      <alignment horizontal="right" vertical="center"/>
      <protection locked="0" hidden="0"/>
    </xf>
    <xf numFmtId="0" fontId="0" fillId="0" borderId="0" applyAlignment="1" applyProtection="1" pivotButton="0" quotePrefix="0" xfId="0">
      <alignment horizontal="right"/>
      <protection locked="0" hidden="0"/>
    </xf>
    <xf numFmtId="0" fontId="3" fillId="4" borderId="2" applyAlignment="1" pivotButton="0" quotePrefix="0" xfId="3">
      <alignment horizontal="center" vertical="center"/>
    </xf>
    <xf numFmtId="0" fontId="2" fillId="3" borderId="2" applyAlignment="1" pivotButton="0" quotePrefix="0" xfId="2">
      <alignment horizontal="center" vertical="center"/>
    </xf>
    <xf numFmtId="0" fontId="2" fillId="3" borderId="2" applyAlignment="1" pivotButton="0" quotePrefix="0" xfId="2">
      <alignment horizontal="center" vertical="center" wrapText="1"/>
    </xf>
    <xf numFmtId="0" fontId="2" fillId="0" borderId="2" applyAlignment="1" pivotButton="0" quotePrefix="0" xfId="2">
      <alignment horizontal="center" vertical="center"/>
    </xf>
    <xf numFmtId="0" fontId="2" fillId="0" borderId="2" applyAlignment="1" pivotButton="0" quotePrefix="0" xfId="2">
      <alignment horizontal="center" vertical="center" wrapText="1"/>
    </xf>
    <xf numFmtId="0" fontId="3" fillId="0" borderId="2" applyAlignment="1" applyProtection="1" pivotButton="0" quotePrefix="0" xfId="3">
      <alignment horizontal="center" vertical="center" wrapText="1"/>
      <protection locked="0" hidden="0"/>
    </xf>
    <xf numFmtId="0" fontId="3" fillId="0" borderId="2" applyAlignment="1" applyProtection="1" pivotButton="0" quotePrefix="0" xfId="3">
      <alignment horizontal="center" vertical="center"/>
      <protection locked="0" hidden="0"/>
    </xf>
    <xf numFmtId="168" fontId="5" fillId="8" borderId="2" applyAlignment="1" applyProtection="1" pivotButton="0" quotePrefix="0" xfId="0">
      <alignment horizontal="center" vertical="center" wrapText="1"/>
      <protection locked="0" hidden="0"/>
    </xf>
    <xf numFmtId="0" fontId="10" fillId="16" borderId="2" applyAlignment="1" pivotButton="0" quotePrefix="0" xfId="5">
      <alignment horizontal="center" vertical="center" wrapText="1"/>
    </xf>
    <xf numFmtId="10" fontId="0" fillId="8" borderId="2" applyAlignment="1" applyProtection="1" pivotButton="0" quotePrefix="0" xfId="0">
      <alignment horizontal="center" vertical="center" wrapText="1"/>
      <protection locked="0" hidden="0"/>
    </xf>
    <xf numFmtId="0" fontId="0" fillId="7" borderId="2" applyAlignment="1" applyProtection="1" pivotButton="0" quotePrefix="0" xfId="0">
      <alignment horizontal="center" vertical="center" wrapText="1"/>
      <protection locked="1" hidden="1"/>
    </xf>
    <xf numFmtId="166" fontId="0" fillId="8" borderId="2" applyAlignment="1" applyProtection="1" pivotButton="0" quotePrefix="0" xfId="0">
      <alignment vertical="center" wrapText="1"/>
      <protection locked="0" hidden="0"/>
    </xf>
    <xf numFmtId="0" fontId="0" fillId="13" borderId="2" applyAlignment="1" pivotButton="0" quotePrefix="0" xfId="0">
      <alignment horizontal="center" vertical="center" wrapText="1"/>
    </xf>
    <xf numFmtId="0" fontId="0" fillId="14" borderId="2" applyAlignment="1" pivotButton="0" quotePrefix="0" xfId="0">
      <alignment horizontal="center" vertical="center" wrapText="1"/>
    </xf>
    <xf numFmtId="166" fontId="0" fillId="14" borderId="2" applyAlignment="1" pivotButton="0" quotePrefix="0" xfId="0">
      <alignment vertical="center" wrapText="1"/>
    </xf>
    <xf numFmtId="2" fontId="7" fillId="8" borderId="2" applyAlignment="1" applyProtection="1" pivotButton="0" quotePrefix="0" xfId="2">
      <alignment horizontal="center" vertical="center" wrapText="1"/>
      <protection locked="1" hidden="1"/>
    </xf>
    <xf numFmtId="0" fontId="0" fillId="0" borderId="2" applyAlignment="1" pivotButton="0" quotePrefix="0" xfId="0">
      <alignment vertical="center"/>
    </xf>
    <xf numFmtId="2" fontId="0" fillId="13" borderId="2" applyAlignment="1" applyProtection="1" pivotButton="0" quotePrefix="0" xfId="0">
      <alignment horizontal="center"/>
      <protection locked="0" hidden="0"/>
    </xf>
    <xf numFmtId="164" fontId="0" fillId="0" borderId="22" applyAlignment="1" applyProtection="1" pivotButton="0" quotePrefix="0" xfId="0">
      <alignment vertical="center" wrapText="1"/>
      <protection locked="0" hidden="0"/>
    </xf>
    <xf numFmtId="164" fontId="0" fillId="0" borderId="31" applyAlignment="1" applyProtection="1" pivotButton="0" quotePrefix="0" xfId="0">
      <alignment vertical="center" wrapText="1"/>
      <protection locked="0" hidden="0"/>
    </xf>
    <xf numFmtId="164" fontId="0" fillId="0" borderId="6" applyAlignment="1" applyProtection="1" pivotButton="0" quotePrefix="0" xfId="0">
      <alignment vertical="center" wrapText="1"/>
      <protection locked="0" hidden="0"/>
    </xf>
    <xf numFmtId="164" fontId="0" fillId="0" borderId="5" applyAlignment="1" applyProtection="1" pivotButton="0" quotePrefix="0" xfId="0">
      <alignment vertical="center" wrapText="1"/>
      <protection locked="0" hidden="0"/>
    </xf>
    <xf numFmtId="0" fontId="0" fillId="0" borderId="22" applyProtection="1" pivotButton="0" quotePrefix="0" xfId="0">
      <protection locked="0" hidden="0"/>
    </xf>
    <xf numFmtId="0" fontId="0" fillId="0" borderId="17" applyProtection="1" pivotButton="0" quotePrefix="0" xfId="0">
      <protection locked="0" hidden="0"/>
    </xf>
    <xf numFmtId="0" fontId="0" fillId="0" borderId="31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4" fontId="0" fillId="20" borderId="22" applyAlignment="1" applyProtection="1" pivotButton="0" quotePrefix="0" xfId="0">
      <alignment horizontal="center" vertical="center" wrapText="1"/>
      <protection locked="0" hidden="0"/>
    </xf>
    <xf numFmtId="164" fontId="0" fillId="10" borderId="3" applyAlignment="1" applyProtection="1" pivotButton="0" quotePrefix="0" xfId="0">
      <alignment vertical="center" wrapText="1"/>
      <protection locked="0" hidden="0"/>
    </xf>
    <xf numFmtId="164" fontId="0" fillId="10" borderId="8" applyAlignment="1" applyProtection="1" pivotButton="0" quotePrefix="0" xfId="0">
      <alignment vertical="center" wrapText="1"/>
      <protection locked="0" hidden="0"/>
    </xf>
    <xf numFmtId="164" fontId="0" fillId="10" borderId="2" applyAlignment="1" applyProtection="1" pivotButton="0" quotePrefix="0" xfId="0">
      <alignment vertical="center" wrapText="1"/>
      <protection locked="0" hidden="0"/>
    </xf>
    <xf numFmtId="2" fontId="7" fillId="26" borderId="2" applyAlignment="1" applyProtection="1" pivotButton="0" quotePrefix="0" xfId="0">
      <alignment horizontal="center" vertical="center" wrapText="1"/>
      <protection locked="1" hidden="1"/>
    </xf>
    <xf numFmtId="9" fontId="0" fillId="0" borderId="0" applyProtection="1" pivotButton="0" quotePrefix="0" xfId="6">
      <protection locked="0" hidden="0"/>
    </xf>
    <xf numFmtId="164" fontId="6" fillId="0" borderId="2" applyAlignment="1" applyProtection="1" pivotButton="0" quotePrefix="0" xfId="0">
      <alignment horizontal="center" vertical="center" wrapText="1"/>
      <protection locked="0" hidden="0"/>
    </xf>
    <xf numFmtId="164" fontId="0" fillId="5" borderId="2" applyAlignment="1" applyProtection="1" pivotButton="0" quotePrefix="0" xfId="0">
      <alignment horizontal="center" vertical="center" wrapText="1"/>
      <protection locked="0" hidden="0"/>
    </xf>
    <xf numFmtId="164" fontId="0" fillId="6" borderId="2" applyAlignment="1" applyProtection="1" pivotButton="0" quotePrefix="0" xfId="0">
      <alignment horizontal="center" vertical="center" wrapText="1"/>
      <protection locked="0" hidden="0"/>
    </xf>
    <xf numFmtId="164" fontId="0" fillId="0" borderId="2" applyAlignment="1" applyProtection="1" pivotButton="0" quotePrefix="0" xfId="0">
      <alignment horizontal="center" vertical="center" wrapText="1"/>
      <protection locked="0" hidden="0"/>
    </xf>
    <xf numFmtId="165" fontId="0" fillId="0" borderId="2" applyAlignment="1" applyProtection="1" pivotButton="0" quotePrefix="0" xfId="0">
      <alignment horizontal="center" vertical="center" wrapText="1"/>
      <protection locked="0" hidden="0"/>
    </xf>
    <xf numFmtId="165" fontId="0" fillId="7" borderId="16" applyAlignment="1" applyProtection="1" pivotButton="0" quotePrefix="0" xfId="0">
      <alignment horizontal="center" vertical="center" wrapText="1"/>
      <protection locked="0" hidden="0"/>
    </xf>
    <xf numFmtId="165" fontId="0" fillId="7" borderId="17" applyAlignment="1" applyProtection="1" pivotButton="0" quotePrefix="0" xfId="0">
      <alignment horizontal="center" vertical="center" wrapText="1"/>
      <protection locked="0" hidden="0"/>
    </xf>
    <xf numFmtId="165" fontId="0" fillId="7" borderId="9" applyAlignment="1" applyProtection="1" pivotButton="0" quotePrefix="0" xfId="0">
      <alignment horizontal="center" vertical="center" wrapText="1"/>
      <protection locked="0" hidden="0"/>
    </xf>
    <xf numFmtId="165" fontId="0" fillId="7" borderId="31" applyAlignment="1" applyProtection="1" pivotButton="0" quotePrefix="0" xfId="0">
      <alignment horizontal="center" vertical="center" wrapText="1"/>
      <protection locked="0" hidden="0"/>
    </xf>
    <xf numFmtId="165" fontId="0" fillId="7" borderId="6" applyAlignment="1" applyProtection="1" pivotButton="0" quotePrefix="0" xfId="0">
      <alignment horizontal="center" vertical="center" wrapText="1"/>
      <protection locked="0" hidden="0"/>
    </xf>
    <xf numFmtId="165" fontId="0" fillId="7" borderId="5" applyAlignment="1" applyProtection="1" pivotButton="0" quotePrefix="0" xfId="0">
      <alignment horizontal="center" vertical="center" wrapText="1"/>
      <protection locked="0" hidden="0"/>
    </xf>
    <xf numFmtId="164" fontId="0" fillId="0" borderId="16" applyAlignment="1" applyProtection="1" pivotButton="0" quotePrefix="0" xfId="0">
      <alignment horizontal="center" vertical="center" wrapText="1"/>
      <protection locked="0" hidden="0"/>
    </xf>
    <xf numFmtId="164" fontId="0" fillId="0" borderId="17" applyAlignment="1" applyProtection="1" pivotButton="0" quotePrefix="0" xfId="0">
      <alignment horizontal="center" vertical="center" wrapText="1"/>
      <protection locked="0" hidden="0"/>
    </xf>
    <xf numFmtId="164" fontId="0" fillId="0" borderId="9" applyAlignment="1" applyProtection="1" pivotButton="0" quotePrefix="0" xfId="0">
      <alignment horizontal="center" vertical="center" wrapText="1"/>
      <protection locked="0" hidden="0"/>
    </xf>
    <xf numFmtId="164" fontId="0" fillId="0" borderId="31" applyAlignment="1" applyProtection="1" pivotButton="0" quotePrefix="0" xfId="0">
      <alignment horizontal="center" vertical="center" wrapText="1"/>
      <protection locked="0" hidden="0"/>
    </xf>
    <xf numFmtId="164" fontId="0" fillId="0" borderId="6" applyAlignment="1" applyProtection="1" pivotButton="0" quotePrefix="0" xfId="0">
      <alignment horizontal="center" vertical="center" wrapText="1"/>
      <protection locked="0" hidden="0"/>
    </xf>
    <xf numFmtId="164" fontId="0" fillId="0" borderId="5" applyAlignment="1" applyProtection="1" pivotButton="0" quotePrefix="0" xfId="0">
      <alignment horizontal="center" vertical="center" wrapText="1"/>
      <protection locked="0" hidden="0"/>
    </xf>
    <xf numFmtId="164" fontId="0" fillId="7" borderId="2" applyAlignment="1" applyProtection="1" pivotButton="0" quotePrefix="0" xfId="0">
      <alignment horizontal="center" vertical="center" wrapText="1"/>
      <protection locked="0" hidden="0"/>
    </xf>
    <xf numFmtId="164" fontId="0" fillId="8" borderId="2" applyAlignment="1" applyProtection="1" pivotButton="0" quotePrefix="0" xfId="0">
      <alignment horizontal="center" vertical="center" wrapText="1"/>
      <protection locked="0" hidden="0"/>
    </xf>
    <xf numFmtId="10" fontId="0" fillId="9" borderId="2" applyAlignment="1" applyProtection="1" pivotButton="0" quotePrefix="0" xfId="0">
      <alignment horizontal="center" vertical="center" wrapText="1"/>
      <protection locked="0" hidden="0"/>
    </xf>
    <xf numFmtId="0" fontId="6" fillId="0" borderId="16" applyAlignment="1" applyProtection="1" pivotButton="0" quotePrefix="0" xfId="0">
      <alignment horizontal="center" vertical="center" wrapText="1"/>
      <protection locked="0" hidden="0"/>
    </xf>
    <xf numFmtId="0" fontId="6" fillId="0" borderId="22" applyAlignment="1" applyProtection="1" pivotButton="0" quotePrefix="0" xfId="0">
      <alignment horizontal="center" vertical="center" wrapText="1"/>
      <protection locked="0" hidden="0"/>
    </xf>
    <xf numFmtId="0" fontId="6" fillId="0" borderId="17" applyAlignment="1" applyProtection="1" pivotButton="0" quotePrefix="0" xfId="0">
      <alignment horizontal="center" vertical="center" wrapText="1"/>
      <protection locked="0" hidden="0"/>
    </xf>
    <xf numFmtId="0" fontId="6" fillId="0" borderId="9" applyAlignment="1" applyProtection="1" pivotButton="0" quotePrefix="0" xfId="0">
      <alignment horizontal="center" vertical="center" wrapText="1"/>
      <protection locked="0" hidden="0"/>
    </xf>
    <xf numFmtId="0" fontId="6" fillId="0" borderId="0" applyAlignment="1" applyProtection="1" pivotButton="0" quotePrefix="0" xfId="0">
      <alignment horizontal="center" vertical="center" wrapText="1"/>
      <protection locked="0" hidden="0"/>
    </xf>
    <xf numFmtId="0" fontId="6" fillId="0" borderId="31" applyAlignment="1" applyProtection="1" pivotButton="0" quotePrefix="0" xfId="0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center" vertical="center" wrapText="1"/>
      <protection locked="0" hidden="0"/>
    </xf>
    <xf numFmtId="0" fontId="6" fillId="0" borderId="4" applyAlignment="1" applyProtection="1" pivotButton="0" quotePrefix="0" xfId="0">
      <alignment horizontal="center" vertical="center" wrapText="1"/>
      <protection locked="0" hidden="0"/>
    </xf>
    <xf numFmtId="0" fontId="6" fillId="0" borderId="5" applyAlignment="1" applyProtection="1" pivotButton="0" quotePrefix="0" xfId="0">
      <alignment horizontal="center" vertical="center" wrapText="1"/>
      <protection locked="0" hidden="0"/>
    </xf>
    <xf numFmtId="0" fontId="0" fillId="0" borderId="9" applyAlignment="1" applyProtection="1" pivotButton="0" quotePrefix="0" xfId="0">
      <alignment horizontal="center" vertical="center" wrapText="1"/>
      <protection locked="0" hidden="0"/>
    </xf>
    <xf numFmtId="0" fontId="0" fillId="0" borderId="31" applyAlignment="1" applyProtection="1" pivotButton="0" quotePrefix="0" xfId="0">
      <alignment horizontal="center" vertical="center" wrapText="1"/>
      <protection locked="0" hidden="0"/>
    </xf>
    <xf numFmtId="0" fontId="0" fillId="0" borderId="6" applyAlignment="1" applyProtection="1" pivotButton="0" quotePrefix="0" xfId="0">
      <alignment horizontal="center" vertical="center" wrapText="1"/>
      <protection locked="0" hidden="0"/>
    </xf>
    <xf numFmtId="0" fontId="0" fillId="0" borderId="5" applyAlignment="1" applyProtection="1" pivotButton="0" quotePrefix="0" xfId="0">
      <alignment horizontal="center" vertical="center" wrapText="1"/>
      <protection locked="0" hidden="0"/>
    </xf>
    <xf numFmtId="174" fontId="0" fillId="0" borderId="2" applyAlignment="1" applyProtection="1" pivotButton="0" quotePrefix="0" xfId="4">
      <alignment horizontal="center" vertical="center" wrapText="1"/>
      <protection locked="0" hidden="0"/>
    </xf>
    <xf numFmtId="166" fontId="0" fillId="6" borderId="2" applyAlignment="1" applyProtection="1" pivotButton="0" quotePrefix="0" xfId="0">
      <alignment horizontal="center" vertical="center" wrapText="1"/>
      <protection locked="0" hidden="0"/>
    </xf>
    <xf numFmtId="164" fontId="6" fillId="0" borderId="16" applyAlignment="1" applyProtection="1" pivotButton="0" quotePrefix="0" xfId="0">
      <alignment horizontal="center" vertical="center" wrapText="1"/>
      <protection locked="0" hidden="0"/>
    </xf>
    <xf numFmtId="164" fontId="6" fillId="0" borderId="17" applyAlignment="1" applyProtection="1" pivotButton="0" quotePrefix="0" xfId="0">
      <alignment horizontal="center" vertical="center" wrapText="1"/>
      <protection locked="0" hidden="0"/>
    </xf>
    <xf numFmtId="164" fontId="6" fillId="0" borderId="9" applyAlignment="1" applyProtection="1" pivotButton="0" quotePrefix="0" xfId="0">
      <alignment horizontal="center" vertical="center" wrapText="1"/>
      <protection locked="0" hidden="0"/>
    </xf>
    <xf numFmtId="164" fontId="6" fillId="0" borderId="31" applyAlignment="1" applyProtection="1" pivotButton="0" quotePrefix="0" xfId="0">
      <alignment horizontal="center" vertical="center" wrapText="1"/>
      <protection locked="0" hidden="0"/>
    </xf>
    <xf numFmtId="164" fontId="6" fillId="0" borderId="6" applyAlignment="1" applyProtection="1" pivotButton="0" quotePrefix="0" xfId="0">
      <alignment horizontal="center" vertical="center" wrapText="1"/>
      <protection locked="0" hidden="0"/>
    </xf>
    <xf numFmtId="164" fontId="6" fillId="0" borderId="5" applyAlignment="1" applyProtection="1" pivotButton="0" quotePrefix="0" xfId="0">
      <alignment horizontal="center" vertical="center" wrapText="1"/>
      <protection locked="0" hidden="0"/>
    </xf>
    <xf numFmtId="164" fontId="11" fillId="0" borderId="2" applyAlignment="1" applyProtection="1" pivotButton="0" quotePrefix="0" xfId="3">
      <alignment horizontal="center" vertical="center" wrapText="1"/>
      <protection locked="0" hidden="0"/>
    </xf>
    <xf numFmtId="164" fontId="3" fillId="0" borderId="16" applyAlignment="1" applyProtection="1" pivotButton="0" quotePrefix="0" xfId="3">
      <alignment horizontal="center" vertical="center" wrapText="1"/>
      <protection locked="0" hidden="0"/>
    </xf>
    <xf numFmtId="164" fontId="3" fillId="0" borderId="17" applyAlignment="1" applyProtection="1" pivotButton="0" quotePrefix="0" xfId="3">
      <alignment horizontal="center" vertical="center" wrapText="1"/>
      <protection locked="0" hidden="0"/>
    </xf>
    <xf numFmtId="164" fontId="3" fillId="0" borderId="9" applyAlignment="1" applyProtection="1" pivotButton="0" quotePrefix="0" xfId="3">
      <alignment horizontal="center" vertical="center" wrapText="1"/>
      <protection locked="0" hidden="0"/>
    </xf>
    <xf numFmtId="164" fontId="3" fillId="0" borderId="31" applyAlignment="1" applyProtection="1" pivotButton="0" quotePrefix="0" xfId="3">
      <alignment horizontal="center" vertical="center" wrapText="1"/>
      <protection locked="0" hidden="0"/>
    </xf>
    <xf numFmtId="164" fontId="3" fillId="0" borderId="6" applyAlignment="1" applyProtection="1" pivotButton="0" quotePrefix="0" xfId="3">
      <alignment horizontal="center" vertical="center" wrapText="1"/>
      <protection locked="0" hidden="0"/>
    </xf>
    <xf numFmtId="164" fontId="3" fillId="0" borderId="5" applyAlignment="1" applyProtection="1" pivotButton="0" quotePrefix="0" xfId="3">
      <alignment horizontal="center" vertical="center" wrapText="1"/>
      <protection locked="0" hidden="0"/>
    </xf>
    <xf numFmtId="164" fontId="0" fillId="0" borderId="3" applyAlignment="1" applyProtection="1" pivotButton="0" quotePrefix="0" xfId="0">
      <alignment horizontal="center" vertical="center" wrapText="1"/>
      <protection locked="0" hidden="0"/>
    </xf>
    <xf numFmtId="164" fontId="0" fillId="0" borderId="7" applyAlignment="1" applyProtection="1" pivotButton="0" quotePrefix="0" xfId="0">
      <alignment horizontal="center" vertical="center" wrapText="1"/>
      <protection locked="0" hidden="0"/>
    </xf>
    <xf numFmtId="164" fontId="0" fillId="0" borderId="8" applyAlignment="1" applyProtection="1" pivotButton="0" quotePrefix="0" xfId="0">
      <alignment horizontal="center" vertical="center" wrapText="1"/>
      <protection locked="0" hidden="0"/>
    </xf>
    <xf numFmtId="165" fontId="0" fillId="7" borderId="2" applyAlignment="1" applyProtection="1" pivotButton="0" quotePrefix="0" xfId="0">
      <alignment horizontal="center" vertical="center" wrapText="1"/>
      <protection locked="0" hidden="0"/>
    </xf>
    <xf numFmtId="164" fontId="3" fillId="0" borderId="2" applyAlignment="1" applyProtection="1" pivotButton="0" quotePrefix="0" xfId="3">
      <alignment horizontal="center" vertical="center" wrapText="1"/>
      <protection locked="0" hidden="0"/>
    </xf>
    <xf numFmtId="0" fontId="0" fillId="0" borderId="2" applyAlignment="1" pivotButton="0" quotePrefix="0" xfId="0">
      <alignment horizontal="center"/>
    </xf>
    <xf numFmtId="164" fontId="0" fillId="0" borderId="0" applyAlignment="1" applyProtection="1" pivotButton="0" quotePrefix="0" xfId="0">
      <alignment horizontal="right" wrapText="1"/>
      <protection locked="0" hidden="0"/>
    </xf>
    <xf numFmtId="164" fontId="0" fillId="0" borderId="2" applyAlignment="1" applyProtection="1" pivotButton="0" quotePrefix="0" xfId="0">
      <alignment horizontal="center" wrapText="1"/>
      <protection locked="0" hidden="0"/>
    </xf>
    <xf numFmtId="164" fontId="0" fillId="0" borderId="3" applyAlignment="1" applyProtection="1" pivotButton="0" quotePrefix="0" xfId="0">
      <alignment horizontal="center" wrapText="1"/>
      <protection locked="0" hidden="0"/>
    </xf>
    <xf numFmtId="165" fontId="0" fillId="0" borderId="0" applyAlignment="1" applyProtection="1" pivotButton="0" quotePrefix="0" xfId="0">
      <alignment horizontal="center" wrapText="1"/>
      <protection locked="0" hidden="0"/>
    </xf>
    <xf numFmtId="164" fontId="6" fillId="0" borderId="0" applyAlignment="1" applyProtection="1" pivotButton="0" quotePrefix="0" xfId="0">
      <alignment horizontal="center" wrapText="1"/>
      <protection locked="0" hidden="0"/>
    </xf>
    <xf numFmtId="164" fontId="6" fillId="0" borderId="4" applyAlignment="1" applyProtection="1" pivotButton="0" quotePrefix="0" xfId="0">
      <alignment horizontal="center" wrapText="1"/>
      <protection locked="0" hidden="0"/>
    </xf>
    <xf numFmtId="164" fontId="0" fillId="5" borderId="4" applyAlignment="1" applyProtection="1" pivotButton="0" quotePrefix="0" xfId="0">
      <alignment horizontal="center" vertical="center" wrapText="1"/>
      <protection locked="0" hidden="0"/>
    </xf>
    <xf numFmtId="164" fontId="0" fillId="5" borderId="5" applyAlignment="1" applyProtection="1" pivotButton="0" quotePrefix="0" xfId="0">
      <alignment horizontal="center" vertical="center" wrapText="1"/>
      <protection locked="0" hidden="0"/>
    </xf>
    <xf numFmtId="164" fontId="0" fillId="6" borderId="6" applyAlignment="1" applyProtection="1" pivotButton="0" quotePrefix="0" xfId="0">
      <alignment horizontal="center" vertical="center" wrapText="1"/>
      <protection locked="0" hidden="0"/>
    </xf>
    <xf numFmtId="164" fontId="0" fillId="6" borderId="4" applyAlignment="1" applyProtection="1" pivotButton="0" quotePrefix="0" xfId="0">
      <alignment horizontal="center" vertical="center" wrapText="1"/>
      <protection locked="0" hidden="0"/>
    </xf>
    <xf numFmtId="164" fontId="0" fillId="6" borderId="5" applyAlignment="1" applyProtection="1" pivotButton="0" quotePrefix="0" xfId="0">
      <alignment horizontal="center" vertical="center" wrapText="1"/>
      <protection locked="0" hidden="0"/>
    </xf>
    <xf numFmtId="164" fontId="0" fillId="7" borderId="3" applyAlignment="1" applyProtection="1" pivotButton="0" quotePrefix="0" xfId="0">
      <alignment horizontal="center" vertical="center" wrapText="1"/>
      <protection locked="0" hidden="0"/>
    </xf>
    <xf numFmtId="164" fontId="0" fillId="7" borderId="7" applyAlignment="1" applyProtection="1" pivotButton="0" quotePrefix="0" xfId="0">
      <alignment horizontal="center" vertical="center" wrapText="1"/>
      <protection locked="0" hidden="0"/>
    </xf>
    <xf numFmtId="164" fontId="0" fillId="7" borderId="8" applyAlignment="1" applyProtection="1" pivotButton="0" quotePrefix="0" xfId="0">
      <alignment horizontal="center" vertical="center" wrapText="1"/>
      <protection locked="0" hidden="0"/>
    </xf>
    <xf numFmtId="164" fontId="0" fillId="8" borderId="3" applyAlignment="1" applyProtection="1" pivotButton="0" quotePrefix="0" xfId="0">
      <alignment horizontal="center" vertical="center" wrapText="1"/>
      <protection locked="0" hidden="0"/>
    </xf>
    <xf numFmtId="164" fontId="0" fillId="8" borderId="7" applyAlignment="1" applyProtection="1" pivotButton="0" quotePrefix="0" xfId="0">
      <alignment horizontal="center" vertical="center" wrapText="1"/>
      <protection locked="0" hidden="0"/>
    </xf>
    <xf numFmtId="0" fontId="0" fillId="0" borderId="10" applyAlignment="1" applyProtection="1" pivotButton="0" quotePrefix="0" xfId="0">
      <alignment horizontal="center" vertical="center" wrapText="1"/>
      <protection locked="0" hidden="0"/>
    </xf>
    <xf numFmtId="0" fontId="0" fillId="0" borderId="11" applyAlignment="1" applyProtection="1" pivotButton="0" quotePrefix="0" xfId="0">
      <alignment horizontal="center" vertical="center" wrapText="1"/>
      <protection locked="0" hidden="0"/>
    </xf>
    <xf numFmtId="0" fontId="0" fillId="0" borderId="12" applyAlignment="1" applyProtection="1" pivotButton="0" quotePrefix="0" xfId="0">
      <alignment horizontal="center" vertical="center" wrapText="1"/>
      <protection locked="0" hidden="0"/>
    </xf>
    <xf numFmtId="14" fontId="0" fillId="0" borderId="10" applyAlignment="1" applyProtection="1" pivotButton="0" quotePrefix="0" xfId="0">
      <alignment horizontal="center" vertical="center" wrapText="1"/>
      <protection locked="0" hidden="0"/>
    </xf>
    <xf numFmtId="168" fontId="0" fillId="0" borderId="11" applyAlignment="1" applyProtection="1" pivotButton="0" quotePrefix="0" xfId="0">
      <alignment horizontal="center" vertical="center" wrapText="1"/>
      <protection locked="0" hidden="0"/>
    </xf>
    <xf numFmtId="168" fontId="0" fillId="0" borderId="12" applyAlignment="1" applyProtection="1" pivotButton="0" quotePrefix="0" xfId="0">
      <alignment horizontal="center" vertical="center" wrapText="1"/>
      <protection locked="0" hidden="0"/>
    </xf>
    <xf numFmtId="168" fontId="5" fillId="0" borderId="2" applyAlignment="1" applyProtection="1" pivotButton="0" quotePrefix="0" xfId="0">
      <alignment horizontal="center" vertical="center" wrapText="1"/>
      <protection locked="0" hidden="0"/>
    </xf>
    <xf numFmtId="2" fontId="0" fillId="0" borderId="10" applyAlignment="1" applyProtection="1" pivotButton="0" quotePrefix="0" xfId="0">
      <alignment horizontal="center" vertical="center" wrapText="1"/>
      <protection locked="0" hidden="0"/>
    </xf>
    <xf numFmtId="2" fontId="0" fillId="0" borderId="11" applyAlignment="1" applyProtection="1" pivotButton="0" quotePrefix="0" xfId="0">
      <alignment horizontal="center" vertical="center" wrapText="1"/>
      <protection locked="0" hidden="0"/>
    </xf>
    <xf numFmtId="2" fontId="0" fillId="0" borderId="12" applyAlignment="1" applyProtection="1" pivotButton="0" quotePrefix="0" xfId="0">
      <alignment horizontal="center" vertical="center" wrapText="1"/>
      <protection locked="0" hidden="0"/>
    </xf>
    <xf numFmtId="0" fontId="3" fillId="4" borderId="1" applyAlignment="1" applyProtection="1" pivotButton="0" quotePrefix="0" xfId="3">
      <alignment horizontal="center" vertical="center" wrapText="1"/>
      <protection locked="0" hidden="0"/>
    </xf>
    <xf numFmtId="0" fontId="3" fillId="4" borderId="1" applyAlignment="1" applyProtection="1" pivotButton="0" quotePrefix="0" xfId="3">
      <alignment horizontal="center" vertical="center"/>
      <protection locked="0" hidden="0"/>
    </xf>
    <xf numFmtId="10" fontId="0" fillId="9" borderId="7" applyAlignment="1" applyProtection="1" pivotButton="0" quotePrefix="0" xfId="0">
      <alignment horizontal="center" vertical="center" wrapText="1"/>
      <protection locked="0" hidden="0"/>
    </xf>
    <xf numFmtId="10" fontId="0" fillId="9" borderId="8" applyAlignment="1" applyProtection="1" pivotButton="0" quotePrefix="0" xfId="0">
      <alignment horizontal="center" vertical="center" wrapText="1"/>
      <protection locked="0" hidden="0"/>
    </xf>
    <xf numFmtId="168" fontId="0" fillId="0" borderId="10" applyAlignment="1" applyProtection="1" pivotButton="0" quotePrefix="0" xfId="0">
      <alignment horizontal="center" vertical="center" wrapText="1"/>
      <protection locked="0" hidden="0"/>
    </xf>
    <xf numFmtId="0" fontId="0" fillId="0" borderId="13" applyAlignment="1" applyProtection="1" pivotButton="0" quotePrefix="0" xfId="0">
      <alignment horizontal="center" vertical="center" wrapText="1"/>
      <protection locked="0" hidden="0"/>
    </xf>
    <xf numFmtId="0" fontId="0" fillId="0" borderId="14" applyAlignment="1" applyProtection="1" pivotButton="0" quotePrefix="0" xfId="0">
      <alignment horizontal="center" vertical="center" wrapText="1"/>
      <protection locked="0" hidden="0"/>
    </xf>
    <xf numFmtId="0" fontId="0" fillId="0" borderId="15" applyAlignment="1" applyProtection="1" pivotButton="0" quotePrefix="0" xfId="0">
      <alignment horizontal="center" vertical="center" wrapText="1"/>
      <protection locked="0" hidden="0"/>
    </xf>
    <xf numFmtId="2" fontId="0" fillId="0" borderId="10" applyAlignment="1" pivotButton="0" quotePrefix="0" xfId="0">
      <alignment horizontal="center" vertical="center" wrapText="1"/>
    </xf>
    <xf numFmtId="2" fontId="0" fillId="0" borderId="11" applyAlignment="1" pivotButton="0" quotePrefix="0" xfId="0">
      <alignment horizontal="center" vertical="center" wrapText="1"/>
    </xf>
    <xf numFmtId="2" fontId="0" fillId="0" borderId="12" applyAlignment="1" pivotButton="0" quotePrefix="0" xfId="0">
      <alignment horizontal="center" vertical="center" wrapText="1"/>
    </xf>
    <xf numFmtId="0" fontId="3" fillId="4" borderId="1" applyAlignment="1" pivotButton="0" quotePrefix="0" xfId="3">
      <alignment horizontal="center" vertical="center" wrapText="1"/>
    </xf>
    <xf numFmtId="0" fontId="3" fillId="4" borderId="1" applyAlignment="1" pivotButton="0" quotePrefix="0" xfId="3">
      <alignment horizontal="center" vertical="center"/>
    </xf>
    <xf numFmtId="2" fontId="7" fillId="0" borderId="10" applyAlignment="1" pivotButton="0" quotePrefix="0" xfId="0">
      <alignment horizontal="center" vertical="center" wrapText="1"/>
    </xf>
    <xf numFmtId="2" fontId="7" fillId="0" borderId="11" applyAlignment="1" pivotButton="0" quotePrefix="0" xfId="0">
      <alignment horizontal="center" vertical="center" wrapText="1"/>
    </xf>
    <xf numFmtId="2" fontId="7" fillId="0" borderId="12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 wrapText="1"/>
    </xf>
    <xf numFmtId="0" fontId="7" fillId="0" borderId="12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0" fillId="0" borderId="2" applyAlignment="1" applyProtection="1" pivotButton="0" quotePrefix="0" xfId="0">
      <alignment horizontal="center" vertical="center"/>
      <protection locked="0" hidden="0"/>
    </xf>
    <xf numFmtId="14" fontId="7" fillId="0" borderId="10" applyAlignment="1" applyProtection="1" pivotButton="0" quotePrefix="0" xfId="0">
      <alignment horizontal="center" vertical="center"/>
      <protection locked="0" hidden="0"/>
    </xf>
    <xf numFmtId="168" fontId="7" fillId="0" borderId="11" applyAlignment="1" applyProtection="1" pivotButton="0" quotePrefix="0" xfId="0">
      <alignment horizontal="center" vertical="center"/>
      <protection locked="0" hidden="0"/>
    </xf>
    <xf numFmtId="168" fontId="7" fillId="0" borderId="12" applyAlignment="1" applyProtection="1" pivotButton="0" quotePrefix="0" xfId="0">
      <alignment horizontal="center" vertical="center"/>
      <protection locked="0" hidden="0"/>
    </xf>
    <xf numFmtId="168" fontId="5" fillId="0" borderId="10" applyAlignment="1" applyProtection="1" pivotButton="0" quotePrefix="0" xfId="0">
      <alignment horizontal="center" vertical="center" wrapText="1"/>
      <protection locked="0" hidden="0"/>
    </xf>
    <xf numFmtId="168" fontId="5" fillId="0" borderId="11" applyAlignment="1" applyProtection="1" pivotButton="0" quotePrefix="0" xfId="0">
      <alignment horizontal="center" vertical="center" wrapText="1"/>
      <protection locked="0" hidden="0"/>
    </xf>
    <xf numFmtId="168" fontId="5" fillId="0" borderId="12" applyAlignment="1" applyProtection="1" pivotButton="0" quotePrefix="0" xfId="0">
      <alignment horizontal="center" vertical="center" wrapText="1"/>
      <protection locked="0" hidden="0"/>
    </xf>
    <xf numFmtId="2" fontId="0" fillId="0" borderId="2" applyAlignment="1" applyProtection="1" pivotButton="0" quotePrefix="0" xfId="0">
      <alignment horizontal="center" vertical="center" wrapText="1"/>
      <protection locked="0" hidden="0"/>
    </xf>
    <xf numFmtId="0" fontId="2" fillId="3" borderId="1" applyAlignment="1" applyProtection="1" pivotButton="0" quotePrefix="0" xfId="2">
      <alignment horizontal="center" vertical="center"/>
      <protection locked="0" hidden="0"/>
    </xf>
    <xf numFmtId="0" fontId="2" fillId="3" borderId="1" applyAlignment="1" pivotButton="0" quotePrefix="0" xfId="2">
      <alignment horizontal="center" vertical="center"/>
    </xf>
    <xf numFmtId="164" fontId="0" fillId="13" borderId="10" applyAlignment="1" applyProtection="1" pivotButton="0" quotePrefix="1" xfId="0">
      <alignment horizontal="center" vertical="center" wrapText="1"/>
      <protection locked="1" hidden="1"/>
    </xf>
    <xf numFmtId="164" fontId="0" fillId="13" borderId="11" applyAlignment="1" applyProtection="1" pivotButton="0" quotePrefix="0" xfId="0">
      <alignment horizontal="center" vertical="center" wrapText="1"/>
      <protection locked="1" hidden="1"/>
    </xf>
    <xf numFmtId="164" fontId="0" fillId="13" borderId="12" applyAlignment="1" applyProtection="1" pivotButton="0" quotePrefix="0" xfId="0">
      <alignment horizontal="center" vertical="center" wrapText="1"/>
      <protection locked="1" hidden="1"/>
    </xf>
    <xf numFmtId="2" fontId="7" fillId="0" borderId="2" applyAlignment="1" applyProtection="1" pivotButton="0" quotePrefix="0" xfId="1">
      <alignment horizontal="center" vertical="center" wrapText="1"/>
      <protection locked="0" hidden="0"/>
    </xf>
    <xf numFmtId="0" fontId="2" fillId="3" borderId="1" applyAlignment="1" pivotButton="0" quotePrefix="0" xfId="2">
      <alignment horizontal="center" vertical="center" wrapText="1"/>
    </xf>
    <xf numFmtId="2" fontId="8" fillId="0" borderId="10" applyAlignment="1" pivotButton="0" quotePrefix="0" xfId="0">
      <alignment horizontal="center" vertical="center" wrapText="1"/>
    </xf>
    <xf numFmtId="2" fontId="8" fillId="0" borderId="11" applyAlignment="1" pivotButton="0" quotePrefix="0" xfId="0">
      <alignment horizontal="center" vertical="center" wrapText="1"/>
    </xf>
    <xf numFmtId="2" fontId="8" fillId="0" borderId="12" applyAlignment="1" pivotButton="0" quotePrefix="0" xfId="0">
      <alignment horizontal="center" vertical="center" wrapText="1"/>
    </xf>
    <xf numFmtId="0" fontId="8" fillId="0" borderId="11" applyAlignment="1" pivotButton="0" quotePrefix="0" xfId="0">
      <alignment horizontal="center" vertical="center" wrapText="1"/>
    </xf>
    <xf numFmtId="0" fontId="8" fillId="0" borderId="12" applyAlignment="1" pivotButton="0" quotePrefix="0" xfId="0">
      <alignment horizontal="center" vertical="center" wrapText="1"/>
    </xf>
    <xf numFmtId="14" fontId="8" fillId="0" borderId="10" applyAlignment="1" applyProtection="1" pivotButton="0" quotePrefix="0" xfId="0">
      <alignment horizontal="center" vertical="center"/>
      <protection locked="0" hidden="0"/>
    </xf>
    <xf numFmtId="168" fontId="8" fillId="0" borderId="11" applyAlignment="1" applyProtection="1" pivotButton="0" quotePrefix="0" xfId="0">
      <alignment horizontal="center" vertical="center"/>
      <protection locked="0" hidden="0"/>
    </xf>
    <xf numFmtId="168" fontId="8" fillId="0" borderId="12" applyAlignment="1" applyProtection="1" pivotButton="0" quotePrefix="0" xfId="0">
      <alignment horizontal="center" vertical="center"/>
      <protection locked="0" hidden="0"/>
    </xf>
    <xf numFmtId="0" fontId="8" fillId="0" borderId="10" applyAlignment="1" pivotButton="0" quotePrefix="0" xfId="0">
      <alignment horizontal="center" vertical="center" wrapText="1"/>
    </xf>
    <xf numFmtId="168" fontId="0" fillId="0" borderId="10" applyAlignment="1" applyProtection="1" pivotButton="0" quotePrefix="0" xfId="0">
      <alignment vertical="center" wrapText="1"/>
      <protection locked="0" hidden="0"/>
    </xf>
    <xf numFmtId="168" fontId="0" fillId="0" borderId="11" applyAlignment="1" applyProtection="1" pivotButton="0" quotePrefix="0" xfId="0">
      <alignment vertical="center" wrapText="1"/>
      <protection locked="0" hidden="0"/>
    </xf>
    <xf numFmtId="168" fontId="0" fillId="0" borderId="12" applyAlignment="1" applyProtection="1" pivotButton="0" quotePrefix="0" xfId="0">
      <alignment vertical="center" wrapText="1"/>
      <protection locked="0" hidden="0"/>
    </xf>
    <xf numFmtId="168" fontId="5" fillId="9" borderId="2" applyAlignment="1" applyProtection="1" pivotButton="0" quotePrefix="0" xfId="0">
      <alignment horizontal="center" vertical="center" wrapText="1"/>
      <protection locked="0" hidden="0"/>
    </xf>
    <xf numFmtId="168" fontId="5" fillId="8" borderId="2" applyAlignment="1" applyProtection="1" pivotButton="0" quotePrefix="0" xfId="0">
      <alignment horizontal="center" vertical="center" wrapText="1"/>
      <protection locked="0" hidden="0"/>
    </xf>
    <xf numFmtId="164" fontId="6" fillId="0" borderId="0" applyAlignment="1" applyProtection="1" pivotButton="0" quotePrefix="0" xfId="0">
      <alignment horizontal="center" vertical="center" wrapText="1"/>
      <protection locked="0" hidden="0"/>
    </xf>
    <xf numFmtId="164" fontId="6" fillId="0" borderId="4" applyAlignment="1" applyProtection="1" pivotButton="0" quotePrefix="0" xfId="0">
      <alignment horizontal="center" vertical="center" wrapText="1"/>
      <protection locked="0" hidden="0"/>
    </xf>
    <xf numFmtId="164" fontId="0" fillId="0" borderId="0" applyAlignment="1" applyProtection="1" pivotButton="0" quotePrefix="0" xfId="0">
      <alignment horizontal="center" vertical="center" wrapText="1"/>
      <protection locked="0" hidden="0"/>
    </xf>
    <xf numFmtId="164" fontId="0" fillId="0" borderId="10" applyAlignment="1" applyProtection="1" pivotButton="0" quotePrefix="0" xfId="0">
      <alignment horizontal="center" vertical="center" wrapText="1"/>
      <protection locked="0" hidden="0"/>
    </xf>
    <xf numFmtId="164" fontId="0" fillId="0" borderId="11" applyAlignment="1" applyProtection="1" pivotButton="0" quotePrefix="0" xfId="0">
      <alignment horizontal="center" vertical="center" wrapText="1"/>
      <protection locked="0" hidden="0"/>
    </xf>
    <xf numFmtId="164" fontId="0" fillId="0" borderId="12" applyAlignment="1" applyProtection="1" pivotButton="0" quotePrefix="0" xfId="0">
      <alignment horizontal="center" vertical="center" wrapText="1"/>
      <protection locked="0" hidden="0"/>
    </xf>
    <xf numFmtId="165" fontId="0" fillId="0" borderId="0" applyAlignment="1" applyProtection="1" pivotButton="0" quotePrefix="0" xfId="0">
      <alignment horizontal="center" vertical="center" wrapText="1"/>
      <protection locked="0" hidden="0"/>
    </xf>
    <xf numFmtId="165" fontId="0" fillId="0" borderId="16" applyAlignment="1" applyProtection="1" pivotButton="0" quotePrefix="0" xfId="0">
      <alignment horizontal="center" vertical="center" wrapText="1"/>
      <protection locked="0" hidden="0"/>
    </xf>
    <xf numFmtId="165" fontId="0" fillId="0" borderId="22" applyAlignment="1" applyProtection="1" pivotButton="0" quotePrefix="0" xfId="0">
      <alignment horizontal="center" vertical="center" wrapText="1"/>
      <protection locked="0" hidden="0"/>
    </xf>
    <xf numFmtId="165" fontId="0" fillId="0" borderId="9" applyAlignment="1" applyProtection="1" pivotButton="0" quotePrefix="0" xfId="0">
      <alignment horizontal="center" vertical="center" wrapText="1"/>
      <protection locked="0" hidden="0"/>
    </xf>
    <xf numFmtId="165" fontId="0" fillId="0" borderId="6" applyAlignment="1" applyProtection="1" pivotButton="0" quotePrefix="0" xfId="0">
      <alignment horizontal="center" vertical="center" wrapText="1"/>
      <protection locked="0" hidden="0"/>
    </xf>
    <xf numFmtId="165" fontId="0" fillId="0" borderId="4" applyAlignment="1" applyProtection="1" pivotButton="0" quotePrefix="0" xfId="0">
      <alignment horizontal="center" vertical="center" wrapText="1"/>
      <protection locked="0" hidden="0"/>
    </xf>
    <xf numFmtId="164" fontId="11" fillId="0" borderId="22" applyAlignment="1" applyProtection="1" pivotButton="0" quotePrefix="0" xfId="3">
      <alignment horizontal="center" vertical="center" wrapText="1"/>
      <protection locked="0" hidden="0"/>
    </xf>
    <xf numFmtId="164" fontId="11" fillId="0" borderId="17" applyAlignment="1" applyProtection="1" pivotButton="0" quotePrefix="0" xfId="3">
      <alignment horizontal="center" vertical="center" wrapText="1"/>
      <protection locked="0" hidden="0"/>
    </xf>
    <xf numFmtId="164" fontId="11" fillId="0" borderId="0" applyAlignment="1" applyProtection="1" pivotButton="0" quotePrefix="0" xfId="3">
      <alignment horizontal="center" vertical="center" wrapText="1"/>
      <protection locked="0" hidden="0"/>
    </xf>
    <xf numFmtId="164" fontId="11" fillId="0" borderId="31" applyAlignment="1" applyProtection="1" pivotButton="0" quotePrefix="0" xfId="3">
      <alignment horizontal="center" vertical="center" wrapText="1"/>
      <protection locked="0" hidden="0"/>
    </xf>
    <xf numFmtId="164" fontId="0" fillId="0" borderId="22" applyAlignment="1" applyProtection="1" pivotButton="0" quotePrefix="0" xfId="0">
      <alignment horizontal="center" vertical="center" wrapText="1"/>
      <protection locked="0" hidden="0"/>
    </xf>
    <xf numFmtId="164" fontId="0" fillId="0" borderId="4" applyAlignment="1" applyProtection="1" pivotButton="0" quotePrefix="0" xfId="0">
      <alignment horizontal="center" vertical="center" wrapText="1"/>
      <protection locked="0" hidden="0"/>
    </xf>
    <xf numFmtId="174" fontId="0" fillId="0" borderId="0" applyAlignment="1" applyProtection="1" pivotButton="0" quotePrefix="0" xfId="4">
      <alignment horizontal="center" vertical="center" wrapText="1"/>
      <protection locked="0" hidden="0"/>
    </xf>
    <xf numFmtId="168" fontId="3" fillId="4" borderId="1" applyAlignment="1" pivotButton="0" quotePrefix="0" xfId="3">
      <alignment horizontal="center" vertical="center" wrapText="1"/>
    </xf>
    <xf numFmtId="168" fontId="3" fillId="4" borderId="1" applyAlignment="1" pivotButton="0" quotePrefix="0" xfId="3">
      <alignment horizontal="center" vertical="center"/>
    </xf>
    <xf numFmtId="168" fontId="7" fillId="0" borderId="10" applyAlignment="1" pivotButton="0" quotePrefix="0" xfId="2">
      <alignment horizontal="center" vertical="center" wrapText="1"/>
    </xf>
    <xf numFmtId="168" fontId="7" fillId="0" borderId="11" applyAlignment="1" pivotButton="0" quotePrefix="0" xfId="2">
      <alignment horizontal="center" vertical="center" wrapText="1"/>
    </xf>
    <xf numFmtId="168" fontId="7" fillId="0" borderId="12" applyAlignment="1" pivotButton="0" quotePrefix="0" xfId="2">
      <alignment horizontal="center" vertical="center" wrapText="1"/>
    </xf>
    <xf numFmtId="14" fontId="0" fillId="0" borderId="10" applyAlignment="1" pivotButton="0" quotePrefix="0" xfId="0">
      <alignment horizontal="center" vertical="center" wrapText="1"/>
    </xf>
    <xf numFmtId="168" fontId="0" fillId="0" borderId="11" applyAlignment="1" pivotButton="0" quotePrefix="0" xfId="0">
      <alignment horizontal="center" vertical="center" wrapText="1"/>
    </xf>
    <xf numFmtId="168" fontId="0" fillId="0" borderId="12" applyAlignment="1" pivotButton="0" quotePrefix="0" xfId="0">
      <alignment horizontal="center" vertical="center" wrapText="1"/>
    </xf>
    <xf numFmtId="168" fontId="7" fillId="0" borderId="10" applyAlignment="1" pivotButton="0" quotePrefix="0" xfId="2">
      <alignment vertical="center" wrapText="1"/>
    </xf>
    <xf numFmtId="168" fontId="7" fillId="0" borderId="11" applyAlignment="1" pivotButton="0" quotePrefix="0" xfId="2">
      <alignment vertical="center" wrapText="1"/>
    </xf>
    <xf numFmtId="168" fontId="7" fillId="0" borderId="12" applyAlignment="1" pivotButton="0" quotePrefix="0" xfId="2">
      <alignment vertical="center" wrapText="1"/>
    </xf>
    <xf numFmtId="0" fontId="0" fillId="0" borderId="2" applyAlignment="1" pivotButton="0" quotePrefix="0" xfId="0">
      <alignment horizontal="center" vertical="center" wrapText="1"/>
    </xf>
    <xf numFmtId="168" fontId="5" fillId="9" borderId="10" applyAlignment="1" applyProtection="1" pivotButton="0" quotePrefix="0" xfId="0">
      <alignment horizontal="center" vertical="center" wrapText="1"/>
      <protection locked="0" hidden="0"/>
    </xf>
    <xf numFmtId="168" fontId="5" fillId="9" borderId="11" applyAlignment="1" applyProtection="1" pivotButton="0" quotePrefix="0" xfId="0">
      <alignment horizontal="center" vertical="center" wrapText="1"/>
      <protection locked="0" hidden="0"/>
    </xf>
    <xf numFmtId="168" fontId="5" fillId="9" borderId="12" applyAlignment="1" applyProtection="1" pivotButton="0" quotePrefix="0" xfId="0">
      <alignment horizontal="center" vertical="center" wrapText="1"/>
      <protection locked="0" hidden="0"/>
    </xf>
    <xf numFmtId="0" fontId="0" fillId="0" borderId="2" applyAlignment="1" applyProtection="1" pivotButton="0" quotePrefix="0" xfId="0">
      <alignment horizontal="center" vertical="center" wrapText="1"/>
      <protection locked="0" hidden="0"/>
    </xf>
    <xf numFmtId="164" fontId="0" fillId="5" borderId="4" applyAlignment="1" pivotButton="0" quotePrefix="0" xfId="0">
      <alignment horizontal="center" vertical="center" wrapText="1"/>
    </xf>
    <xf numFmtId="164" fontId="0" fillId="6" borderId="6" applyAlignment="1" pivotButton="0" quotePrefix="0" xfId="0">
      <alignment horizontal="center" vertical="center" wrapText="1"/>
    </xf>
    <xf numFmtId="164" fontId="0" fillId="6" borderId="4" applyAlignment="1" pivotButton="0" quotePrefix="0" xfId="0">
      <alignment horizontal="center" vertical="center" wrapText="1"/>
    </xf>
    <xf numFmtId="164" fontId="0" fillId="6" borderId="5" applyAlignment="1" pivotButton="0" quotePrefix="0" xfId="0">
      <alignment horizontal="center" vertical="center" wrapText="1"/>
    </xf>
    <xf numFmtId="164" fontId="0" fillId="7" borderId="3" applyAlignment="1" pivotButton="0" quotePrefix="0" xfId="0">
      <alignment horizontal="center" vertical="center" wrapText="1"/>
    </xf>
    <xf numFmtId="164" fontId="0" fillId="7" borderId="7" applyAlignment="1" pivotButton="0" quotePrefix="0" xfId="0">
      <alignment horizontal="center" vertical="center" wrapText="1"/>
    </xf>
    <xf numFmtId="164" fontId="0" fillId="7" borderId="8" applyAlignment="1" pivotButton="0" quotePrefix="0" xfId="0">
      <alignment horizontal="center" vertical="center" wrapText="1"/>
    </xf>
    <xf numFmtId="164" fontId="0" fillId="8" borderId="3" applyAlignment="1" pivotButton="0" quotePrefix="0" xfId="0">
      <alignment horizontal="center" vertical="center" wrapText="1"/>
    </xf>
    <xf numFmtId="164" fontId="0" fillId="8" borderId="7" applyAlignment="1" pivotButton="0" quotePrefix="0" xfId="0">
      <alignment horizontal="center" vertical="center" wrapText="1"/>
    </xf>
    <xf numFmtId="164" fontId="0" fillId="20" borderId="4" applyAlignment="1" pivotButton="0" quotePrefix="0" xfId="0">
      <alignment horizontal="center" vertical="center" wrapText="1"/>
    </xf>
    <xf numFmtId="164" fontId="0" fillId="0" borderId="2" applyAlignment="1" pivotButton="0" quotePrefix="0" xfId="0">
      <alignment horizontal="center" vertical="center" wrapText="1"/>
    </xf>
    <xf numFmtId="164" fontId="0" fillId="0" borderId="3" applyAlignment="1" pivotButton="0" quotePrefix="0" xfId="0">
      <alignment horizontal="center" vertical="center" wrapText="1"/>
    </xf>
    <xf numFmtId="164" fontId="0" fillId="0" borderId="8" applyAlignment="1" pivotButton="0" quotePrefix="0" xfId="0">
      <alignment horizontal="center" vertical="center" wrapText="1"/>
    </xf>
    <xf numFmtId="168" fontId="0" fillId="0" borderId="10" applyAlignment="1" pivotButton="0" quotePrefix="0" xfId="0">
      <alignment horizontal="center" vertical="center" wrapText="1"/>
    </xf>
    <xf numFmtId="168" fontId="0" fillId="0" borderId="10" applyAlignment="1" pivotButton="0" quotePrefix="0" xfId="0">
      <alignment vertical="center" wrapText="1"/>
    </xf>
    <xf numFmtId="168" fontId="0" fillId="0" borderId="11" applyAlignment="1" pivotButton="0" quotePrefix="0" xfId="0">
      <alignment vertical="center" wrapText="1"/>
    </xf>
    <xf numFmtId="168" fontId="0" fillId="0" borderId="12" applyAlignment="1" pivotButton="0" quotePrefix="0" xfId="0">
      <alignment vertical="center" wrapText="1"/>
    </xf>
    <xf numFmtId="168" fontId="3" fillId="4" borderId="23" applyAlignment="1" pivotButton="0" quotePrefix="0" xfId="3">
      <alignment horizontal="center" vertical="center" wrapText="1"/>
    </xf>
    <xf numFmtId="168" fontId="3" fillId="4" borderId="24" applyAlignment="1" pivotButton="0" quotePrefix="0" xfId="3">
      <alignment horizontal="center" vertical="center" wrapText="1"/>
    </xf>
    <xf numFmtId="168" fontId="3" fillId="4" borderId="25" applyAlignment="1" pivotButton="0" quotePrefix="0" xfId="3">
      <alignment horizontal="center" vertical="center" wrapText="1"/>
    </xf>
    <xf numFmtId="168" fontId="3" fillId="4" borderId="23" applyAlignment="1" pivotButton="0" quotePrefix="0" xfId="3">
      <alignment horizontal="center" vertical="center"/>
    </xf>
    <xf numFmtId="168" fontId="3" fillId="4" borderId="24" applyAlignment="1" pivotButton="0" quotePrefix="0" xfId="3">
      <alignment horizontal="center" vertical="center"/>
    </xf>
    <xf numFmtId="168" fontId="3" fillId="4" borderId="25" applyAlignment="1" pivotButton="0" quotePrefix="0" xfId="3">
      <alignment horizontal="center" vertical="center"/>
    </xf>
    <xf numFmtId="0" fontId="0" fillId="8" borderId="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7" fillId="0" borderId="10" applyAlignment="1" pivotButton="0" quotePrefix="0" xfId="2">
      <alignment horizontal="center" vertical="center" wrapText="1"/>
    </xf>
    <xf numFmtId="0" fontId="7" fillId="0" borderId="11" applyAlignment="1" pivotButton="0" quotePrefix="0" xfId="2">
      <alignment horizontal="center" vertical="center" wrapText="1"/>
    </xf>
    <xf numFmtId="0" fontId="7" fillId="0" borderId="12" applyAlignment="1" pivotButton="0" quotePrefix="0" xfId="2">
      <alignment horizontal="center" vertical="center" wrapText="1"/>
    </xf>
    <xf numFmtId="168" fontId="3" fillId="4" borderId="1" applyAlignment="1" pivotButton="0" quotePrefix="0" xfId="3">
      <alignment horizontal="center" vertical="center" wrapText="1"/>
    </xf>
    <xf numFmtId="168" fontId="3" fillId="4" borderId="1" applyAlignment="1" pivotButton="0" quotePrefix="0" xfId="3">
      <alignment horizontal="center" vertical="center"/>
    </xf>
    <xf numFmtId="0" fontId="0" fillId="0" borderId="13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0" fontId="7" fillId="8" borderId="10" applyAlignment="1" pivotButton="0" quotePrefix="0" xfId="2">
      <alignment horizontal="center" vertical="center" wrapText="1"/>
    </xf>
    <xf numFmtId="0" fontId="7" fillId="8" borderId="11" applyAlignment="1" pivotButton="0" quotePrefix="0" xfId="2">
      <alignment horizontal="center" vertical="center" wrapText="1"/>
    </xf>
    <xf numFmtId="0" fontId="7" fillId="8" borderId="12" applyAlignment="1" pivotButton="0" quotePrefix="0" xfId="2">
      <alignment horizontal="center" vertical="center" wrapText="1"/>
    </xf>
    <xf numFmtId="168" fontId="13" fillId="4" borderId="23" applyAlignment="1" pivotButton="0" quotePrefix="0" xfId="3">
      <alignment horizontal="center" vertical="center" wrapText="1"/>
    </xf>
    <xf numFmtId="168" fontId="13" fillId="4" borderId="24" applyAlignment="1" pivotButton="0" quotePrefix="0" xfId="3">
      <alignment horizontal="center" vertical="center" wrapText="1"/>
    </xf>
    <xf numFmtId="168" fontId="13" fillId="4" borderId="25" applyAlignment="1" pivotButton="0" quotePrefix="0" xfId="3">
      <alignment horizontal="center" vertical="center" wrapText="1"/>
    </xf>
    <xf numFmtId="168" fontId="13" fillId="4" borderId="23" applyAlignment="1" pivotButton="0" quotePrefix="0" xfId="3">
      <alignment horizontal="center" vertical="center"/>
    </xf>
    <xf numFmtId="168" fontId="13" fillId="4" borderId="24" applyAlignment="1" pivotButton="0" quotePrefix="0" xfId="3">
      <alignment horizontal="center" vertical="center"/>
    </xf>
    <xf numFmtId="168" fontId="13" fillId="4" borderId="25" applyAlignment="1" pivotButton="0" quotePrefix="0" xfId="3">
      <alignment horizontal="center" vertical="center"/>
    </xf>
    <xf numFmtId="166" fontId="13" fillId="4" borderId="1" applyAlignment="1" pivotButton="0" quotePrefix="0" xfId="3">
      <alignment horizontal="center" vertical="center" wrapText="1"/>
    </xf>
    <xf numFmtId="166" fontId="7" fillId="0" borderId="10" applyAlignment="1" pivotButton="0" quotePrefix="0" xfId="0">
      <alignment horizontal="center" vertical="center" wrapText="1"/>
    </xf>
    <xf numFmtId="166" fontId="7" fillId="0" borderId="11" applyAlignment="1" pivotButton="0" quotePrefix="0" xfId="0">
      <alignment horizontal="center" vertical="center" wrapText="1"/>
    </xf>
    <xf numFmtId="166" fontId="7" fillId="0" borderId="12" applyAlignment="1" pivotButton="0" quotePrefix="0" xfId="0">
      <alignment horizontal="center" vertical="center" wrapText="1"/>
    </xf>
    <xf numFmtId="166" fontId="7" fillId="0" borderId="10" applyAlignment="1" pivotButton="0" quotePrefix="0" xfId="1">
      <alignment horizontal="center" vertical="center" wrapText="1"/>
    </xf>
    <xf numFmtId="166" fontId="7" fillId="0" borderId="11" applyAlignment="1" pivotButton="0" quotePrefix="0" xfId="1">
      <alignment horizontal="center" vertical="center" wrapText="1"/>
    </xf>
    <xf numFmtId="166" fontId="7" fillId="0" borderId="12" applyAlignment="1" pivotButton="0" quotePrefix="0" xfId="1">
      <alignment horizontal="center" vertical="center" wrapText="1"/>
    </xf>
    <xf numFmtId="168" fontId="7" fillId="0" borderId="10" applyAlignment="1" pivotButton="0" quotePrefix="0" xfId="0">
      <alignment horizontal="center" vertical="center" wrapText="1"/>
    </xf>
    <xf numFmtId="168" fontId="7" fillId="0" borderId="11" applyAlignment="1" pivotButton="0" quotePrefix="0" xfId="0">
      <alignment horizontal="center" vertical="center" wrapText="1"/>
    </xf>
    <xf numFmtId="168" fontId="7" fillId="0" borderId="12" applyAlignment="1" pivotButton="0" quotePrefix="0" xfId="0">
      <alignment horizontal="center" vertical="center" wrapText="1"/>
    </xf>
    <xf numFmtId="14" fontId="7" fillId="0" borderId="10" applyAlignment="1" pivotButton="0" quotePrefix="0" xfId="0">
      <alignment horizontal="center" vertical="center" wrapText="1"/>
    </xf>
    <xf numFmtId="168" fontId="7" fillId="0" borderId="10" applyAlignment="1" pivotButton="0" quotePrefix="0" xfId="0">
      <alignment vertical="center" wrapText="1"/>
    </xf>
    <xf numFmtId="168" fontId="7" fillId="0" borderId="11" applyAlignment="1" pivotButton="0" quotePrefix="0" xfId="0">
      <alignment vertical="center" wrapText="1"/>
    </xf>
    <xf numFmtId="168" fontId="7" fillId="0" borderId="12" applyAlignment="1" pivotButton="0" quotePrefix="0" xfId="0">
      <alignment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0" borderId="2" applyAlignment="1" applyProtection="1" pivotButton="0" quotePrefix="0" xfId="0">
      <alignment horizontal="center" vertical="center" wrapText="1"/>
      <protection locked="0" hidden="0"/>
    </xf>
    <xf numFmtId="166" fontId="13" fillId="0" borderId="1" applyAlignment="1" pivotButton="0" quotePrefix="0" xfId="3">
      <alignment horizontal="center" vertical="center" wrapText="1"/>
    </xf>
    <xf numFmtId="164" fontId="7" fillId="0" borderId="10" applyAlignment="1" pivotButton="0" quotePrefix="0" xfId="0">
      <alignment horizontal="center" vertical="center" wrapText="1"/>
    </xf>
    <xf numFmtId="164" fontId="7" fillId="0" borderId="11" applyAlignment="1" pivotButton="0" quotePrefix="0" xfId="0">
      <alignment horizontal="center" vertical="center" wrapText="1"/>
    </xf>
    <xf numFmtId="164" fontId="7" fillId="0" borderId="12" applyAlignment="1" pivotButton="0" quotePrefix="0" xfId="0">
      <alignment horizontal="center" vertical="center" wrapText="1"/>
    </xf>
    <xf numFmtId="166" fontId="7" fillId="13" borderId="10" applyAlignment="1" pivotButton="0" quotePrefix="0" xfId="0">
      <alignment horizontal="center" vertical="center" wrapText="1"/>
    </xf>
    <xf numFmtId="166" fontId="7" fillId="13" borderId="11" applyAlignment="1" pivotButton="0" quotePrefix="0" xfId="0">
      <alignment horizontal="center" vertical="center" wrapText="1"/>
    </xf>
    <xf numFmtId="166" fontId="7" fillId="13" borderId="12" applyAlignment="1" pivotButton="0" quotePrefix="0" xfId="0">
      <alignment horizontal="center" vertical="center" wrapText="1"/>
    </xf>
    <xf numFmtId="168" fontId="13" fillId="4" borderId="1" applyAlignment="1" pivotButton="0" quotePrefix="0" xfId="3">
      <alignment horizontal="center" vertical="center" wrapText="1"/>
    </xf>
    <xf numFmtId="168" fontId="13" fillId="4" borderId="1" applyAlignment="1" pivotButton="0" quotePrefix="0" xfId="3">
      <alignment horizontal="center" vertical="center"/>
    </xf>
    <xf numFmtId="166" fontId="7" fillId="0" borderId="37" applyAlignment="1" pivotButton="0" quotePrefix="0" xfId="0">
      <alignment horizontal="center" vertical="center" wrapText="1"/>
    </xf>
    <xf numFmtId="166" fontId="7" fillId="0" borderId="38" applyAlignment="1" pivotButton="0" quotePrefix="0" xfId="0">
      <alignment horizontal="center" vertical="center" wrapText="1"/>
    </xf>
    <xf numFmtId="166" fontId="7" fillId="0" borderId="39" applyAlignment="1" pivotButton="0" quotePrefix="0" xfId="0">
      <alignment horizontal="center" vertical="center" wrapText="1"/>
    </xf>
    <xf numFmtId="14" fontId="7" fillId="0" borderId="10" applyAlignment="1" applyProtection="1" pivotButton="0" quotePrefix="0" xfId="0">
      <alignment vertical="center" wrapText="1"/>
      <protection locked="0" hidden="0"/>
    </xf>
    <xf numFmtId="14" fontId="7" fillId="0" borderId="11" applyAlignment="1" applyProtection="1" pivotButton="0" quotePrefix="0" xfId="0">
      <alignment vertical="center" wrapText="1"/>
      <protection locked="0" hidden="0"/>
    </xf>
    <xf numFmtId="14" fontId="7" fillId="0" borderId="12" applyAlignment="1" applyProtection="1" pivotButton="0" quotePrefix="0" xfId="0">
      <alignment vertical="center" wrapText="1"/>
      <protection locked="0" hidden="0"/>
    </xf>
    <xf numFmtId="168" fontId="5" fillId="9" borderId="10" applyAlignment="1" pivotButton="0" quotePrefix="0" xfId="0">
      <alignment horizontal="center" vertical="center" wrapText="1"/>
    </xf>
    <xf numFmtId="168" fontId="5" fillId="9" borderId="11" applyAlignment="1" pivotButton="0" quotePrefix="0" xfId="0">
      <alignment horizontal="center" vertical="center" wrapText="1"/>
    </xf>
    <xf numFmtId="168" fontId="5" fillId="9" borderId="12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0" fontId="7" fillId="0" borderId="14" applyAlignment="1" pivotButton="0" quotePrefix="0" xfId="0">
      <alignment horizontal="center" vertical="center" wrapText="1"/>
    </xf>
    <xf numFmtId="0" fontId="7" fillId="0" borderId="15" applyAlignment="1" pivotButton="0" quotePrefix="0" xfId="0">
      <alignment horizontal="center" vertical="center" wrapText="1"/>
    </xf>
    <xf numFmtId="168" fontId="13" fillId="4" borderId="1" applyAlignment="1" pivotButton="0" quotePrefix="0" xfId="3">
      <alignment horizontal="center" vertical="center" wrapText="1"/>
    </xf>
    <xf numFmtId="168" fontId="13" fillId="4" borderId="1" applyAlignment="1" pivotButton="0" quotePrefix="0" xfId="3">
      <alignment horizontal="center" vertical="center"/>
    </xf>
    <xf numFmtId="175" fontId="16" fillId="25" borderId="46" applyAlignment="1" pivotButton="0" quotePrefix="0" xfId="0">
      <alignment horizontal="center" vertical="center" wrapText="1"/>
    </xf>
    <xf numFmtId="175" fontId="16" fillId="25" borderId="11" applyAlignment="1" pivotButton="0" quotePrefix="0" xfId="0">
      <alignment horizontal="center" vertical="center" wrapText="1"/>
    </xf>
    <xf numFmtId="175" fontId="16" fillId="25" borderId="47" applyAlignment="1" pivotButton="0" quotePrefix="0" xfId="0">
      <alignment horizontal="center" vertical="center" wrapText="1"/>
    </xf>
    <xf numFmtId="164" fontId="7" fillId="0" borderId="2" applyAlignment="1" pivotButton="0" quotePrefix="0" xfId="0">
      <alignment horizontal="center" vertical="center" wrapText="1"/>
    </xf>
    <xf numFmtId="164" fontId="7" fillId="0" borderId="3" applyAlignment="1" pivotButton="0" quotePrefix="0" xfId="0">
      <alignment horizontal="center" vertical="center" wrapText="1"/>
    </xf>
    <xf numFmtId="164" fontId="7" fillId="0" borderId="8" applyAlignment="1" pivotButton="0" quotePrefix="0" xfId="0">
      <alignment horizontal="center" vertical="center" wrapText="1"/>
    </xf>
    <xf numFmtId="164" fontId="7" fillId="5" borderId="4" applyAlignment="1" pivotButton="0" quotePrefix="0" xfId="0">
      <alignment horizontal="center" vertical="center" wrapText="1"/>
    </xf>
    <xf numFmtId="164" fontId="7" fillId="6" borderId="6" applyAlignment="1" pivotButton="0" quotePrefix="0" xfId="0">
      <alignment horizontal="center" vertical="center" wrapText="1"/>
    </xf>
    <xf numFmtId="164" fontId="7" fillId="6" borderId="4" applyAlignment="1" pivotButton="0" quotePrefix="0" xfId="0">
      <alignment horizontal="center" vertical="center" wrapText="1"/>
    </xf>
    <xf numFmtId="164" fontId="7" fillId="6" borderId="5" applyAlignment="1" pivotButton="0" quotePrefix="0" xfId="0">
      <alignment horizontal="center" vertical="center" wrapText="1"/>
    </xf>
    <xf numFmtId="164" fontId="7" fillId="7" borderId="3" applyAlignment="1" pivotButton="0" quotePrefix="0" xfId="0">
      <alignment horizontal="center" vertical="center" wrapText="1"/>
    </xf>
    <xf numFmtId="164" fontId="7" fillId="7" borderId="7" applyAlignment="1" pivotButton="0" quotePrefix="0" xfId="0">
      <alignment horizontal="center" vertical="center" wrapText="1"/>
    </xf>
    <xf numFmtId="164" fontId="7" fillId="7" borderId="8" applyAlignment="1" pivotButton="0" quotePrefix="0" xfId="0">
      <alignment horizontal="center" vertical="center" wrapText="1"/>
    </xf>
    <xf numFmtId="164" fontId="7" fillId="8" borderId="3" applyAlignment="1" pivotButton="0" quotePrefix="0" xfId="0">
      <alignment horizontal="center" vertical="center" wrapText="1"/>
    </xf>
    <xf numFmtId="164" fontId="7" fillId="8" borderId="7" applyAlignment="1" pivotButton="0" quotePrefix="0" xfId="0">
      <alignment horizontal="center" vertical="center" wrapText="1"/>
    </xf>
    <xf numFmtId="10" fontId="7" fillId="9" borderId="7" applyAlignment="1" pivotButton="0" quotePrefix="0" xfId="0">
      <alignment horizontal="center" vertical="center" wrapText="1"/>
    </xf>
    <xf numFmtId="10" fontId="7" fillId="9" borderId="8" applyAlignment="1" pivotButton="0" quotePrefix="0" xfId="0">
      <alignment horizontal="center" vertical="center" wrapText="1"/>
    </xf>
    <xf numFmtId="164" fontId="7" fillId="20" borderId="4" applyAlignment="1" pivotButton="0" quotePrefix="0" xfId="0">
      <alignment horizontal="center" vertical="center" wrapText="1"/>
    </xf>
    <xf numFmtId="164" fontId="7" fillId="0" borderId="36" applyAlignment="1" applyProtection="1" pivotButton="0" quotePrefix="0" xfId="0">
      <alignment horizontal="center" vertical="center" wrapText="1"/>
      <protection locked="0" hidden="0"/>
    </xf>
    <xf numFmtId="164" fontId="7" fillId="0" borderId="0" applyAlignment="1" applyProtection="1" pivotButton="0" quotePrefix="0" xfId="0">
      <alignment horizontal="center" vertical="center" wrapText="1"/>
      <protection locked="0" hidden="0"/>
    </xf>
    <xf numFmtId="164" fontId="7" fillId="0" borderId="4" applyAlignment="1" applyProtection="1" pivotButton="0" quotePrefix="0" xfId="0">
      <alignment horizontal="center" vertical="center" wrapText="1"/>
      <protection locked="0" hidden="0"/>
    </xf>
    <xf numFmtId="164" fontId="7" fillId="0" borderId="34" applyAlignment="1" applyProtection="1" pivotButton="0" quotePrefix="0" xfId="0">
      <alignment horizontal="center" vertical="center" wrapText="1"/>
      <protection locked="0" hidden="0"/>
    </xf>
    <xf numFmtId="164" fontId="7" fillId="0" borderId="0" applyAlignment="1" applyProtection="1" pivotButton="0" quotePrefix="0" xfId="0">
      <alignment horizontal="right" vertical="center" wrapText="1"/>
      <protection locked="0" hidden="0"/>
    </xf>
    <xf numFmtId="164" fontId="0" fillId="7" borderId="6" applyAlignment="1" pivotButton="0" quotePrefix="0" xfId="0">
      <alignment horizontal="center" vertical="center" wrapText="1"/>
    </xf>
    <xf numFmtId="164" fontId="0" fillId="7" borderId="4" applyAlignment="1" pivotButton="0" quotePrefix="0" xfId="0">
      <alignment horizontal="center" vertical="center" wrapText="1"/>
    </xf>
    <xf numFmtId="164" fontId="0" fillId="7" borderId="5" applyAlignment="1" pivotButton="0" quotePrefix="0" xfId="0">
      <alignment horizontal="center" vertical="center" wrapText="1"/>
    </xf>
    <xf numFmtId="164" fontId="0" fillId="8" borderId="6" applyAlignment="1" pivotButton="0" quotePrefix="0" xfId="0">
      <alignment horizontal="center" vertical="center" wrapText="1"/>
    </xf>
    <xf numFmtId="164" fontId="0" fillId="8" borderId="4" applyAlignment="1" pivotButton="0" quotePrefix="0" xfId="0">
      <alignment horizontal="center" vertical="center" wrapText="1"/>
    </xf>
    <xf numFmtId="164" fontId="0" fillId="0" borderId="0" applyAlignment="1" applyProtection="1" pivotButton="0" quotePrefix="0" xfId="0">
      <alignment horizontal="right" vertical="center" wrapText="1"/>
      <protection locked="0" hidden="0"/>
    </xf>
    <xf numFmtId="1" fontId="0" fillId="0" borderId="2" applyAlignment="1" applyProtection="1" pivotButton="0" quotePrefix="0" xfId="0">
      <alignment vertical="center" wrapText="1"/>
      <protection locked="0" hidden="0"/>
    </xf>
    <xf numFmtId="14" fontId="0" fillId="0" borderId="10" applyAlignment="1" applyProtection="1" pivotButton="0" quotePrefix="0" xfId="0">
      <alignment vertical="center" wrapText="1"/>
      <protection locked="0" hidden="0"/>
    </xf>
    <xf numFmtId="14" fontId="0" fillId="0" borderId="11" applyAlignment="1" applyProtection="1" pivotButton="0" quotePrefix="0" xfId="0">
      <alignment vertical="center" wrapText="1"/>
      <protection locked="0" hidden="0"/>
    </xf>
    <xf numFmtId="14" fontId="0" fillId="0" borderId="12" applyAlignment="1" applyProtection="1" pivotButton="0" quotePrefix="0" xfId="0">
      <alignment vertical="center" wrapText="1"/>
      <protection locked="0" hidden="0"/>
    </xf>
    <xf numFmtId="0" fontId="0" fillId="0" borderId="2" applyAlignment="1" pivotButton="0" quotePrefix="0" xfId="0">
      <alignment horizontal="center" vertical="center"/>
    </xf>
    <xf numFmtId="168" fontId="3" fillId="4" borderId="41" applyAlignment="1" applyProtection="1" pivotButton="0" quotePrefix="0" xfId="3">
      <alignment horizontal="center" vertical="center" wrapText="1"/>
      <protection locked="0" hidden="0"/>
    </xf>
    <xf numFmtId="168" fontId="3" fillId="4" borderId="40" applyAlignment="1" applyProtection="1" pivotButton="0" quotePrefix="0" xfId="3">
      <alignment horizontal="center" vertical="center" wrapText="1"/>
      <protection locked="0" hidden="0"/>
    </xf>
    <xf numFmtId="168" fontId="3" fillId="4" borderId="43" applyAlignment="1" applyProtection="1" pivotButton="0" quotePrefix="0" xfId="3">
      <alignment horizontal="center" vertical="center" wrapText="1"/>
      <protection locked="0" hidden="0"/>
    </xf>
    <xf numFmtId="168" fontId="3" fillId="4" borderId="23" applyAlignment="1" applyProtection="1" pivotButton="0" quotePrefix="0" xfId="3">
      <alignment horizontal="center" vertical="center" wrapText="1"/>
      <protection locked="0" hidden="0"/>
    </xf>
    <xf numFmtId="168" fontId="3" fillId="4" borderId="24" applyAlignment="1" applyProtection="1" pivotButton="0" quotePrefix="0" xfId="3">
      <alignment horizontal="center" vertical="center" wrapText="1"/>
      <protection locked="0" hidden="0"/>
    </xf>
    <xf numFmtId="168" fontId="3" fillId="4" borderId="25" applyAlignment="1" applyProtection="1" pivotButton="0" quotePrefix="0" xfId="3">
      <alignment horizontal="center" vertical="center" wrapText="1"/>
      <protection locked="0" hidden="0"/>
    </xf>
    <xf numFmtId="168" fontId="3" fillId="4" borderId="23" applyAlignment="1" applyProtection="1" pivotButton="0" quotePrefix="0" xfId="3">
      <alignment horizontal="center" vertical="center"/>
      <protection locked="0" hidden="0"/>
    </xf>
    <xf numFmtId="168" fontId="3" fillId="4" borderId="24" applyAlignment="1" applyProtection="1" pivotButton="0" quotePrefix="0" xfId="3">
      <alignment horizontal="center" vertical="center"/>
      <protection locked="0" hidden="0"/>
    </xf>
    <xf numFmtId="168" fontId="3" fillId="4" borderId="25" applyAlignment="1" applyProtection="1" pivotButton="0" quotePrefix="0" xfId="3">
      <alignment horizontal="center" vertical="center"/>
      <protection locked="0" hidden="0"/>
    </xf>
    <xf numFmtId="168" fontId="5" fillId="0" borderId="10" applyAlignment="1" pivotButton="0" quotePrefix="0" xfId="0">
      <alignment horizontal="center" vertical="center" wrapText="1"/>
    </xf>
    <xf numFmtId="168" fontId="5" fillId="0" borderId="11" applyAlignment="1" pivotButton="0" quotePrefix="0" xfId="0">
      <alignment horizontal="center" vertical="center" wrapText="1"/>
    </xf>
    <xf numFmtId="168" fontId="5" fillId="0" borderId="12" applyAlignment="1" pivotButton="0" quotePrefix="0" xfId="0">
      <alignment horizontal="center" vertical="center" wrapText="1"/>
    </xf>
    <xf numFmtId="168" fontId="5" fillId="0" borderId="2" applyAlignment="1" pivotButton="0" quotePrefix="0" xfId="0">
      <alignment horizontal="center" vertical="center" wrapText="1"/>
    </xf>
    <xf numFmtId="168" fontId="0" fillId="8" borderId="10" applyAlignment="1" applyProtection="1" pivotButton="0" quotePrefix="0" xfId="0">
      <alignment horizontal="center" vertical="center" wrapText="1"/>
      <protection locked="0" hidden="0"/>
    </xf>
    <xf numFmtId="168" fontId="0" fillId="8" borderId="11" applyAlignment="1" applyProtection="1" pivotButton="0" quotePrefix="0" xfId="0">
      <alignment horizontal="center" vertical="center" wrapText="1"/>
      <protection locked="0" hidden="0"/>
    </xf>
    <xf numFmtId="168" fontId="0" fillId="8" borderId="12" applyAlignment="1" applyProtection="1" pivotButton="0" quotePrefix="0" xfId="0">
      <alignment horizontal="center" vertical="center" wrapText="1"/>
      <protection locked="0" hidden="0"/>
    </xf>
    <xf numFmtId="0" fontId="10" fillId="16" borderId="10" applyAlignment="1" applyProtection="1" pivotButton="0" quotePrefix="0" xfId="5">
      <alignment horizontal="center" vertical="center" wrapText="1"/>
      <protection locked="0" hidden="0"/>
    </xf>
    <xf numFmtId="0" fontId="10" fillId="16" borderId="11" applyAlignment="1" applyProtection="1" pivotButton="0" quotePrefix="0" xfId="5">
      <alignment horizontal="center" vertical="center" wrapText="1"/>
      <protection locked="0" hidden="0"/>
    </xf>
    <xf numFmtId="0" fontId="10" fillId="16" borderId="12" applyAlignment="1" applyProtection="1" pivotButton="0" quotePrefix="0" xfId="5">
      <alignment horizontal="center" vertical="center" wrapText="1"/>
      <protection locked="0" hidden="0"/>
    </xf>
    <xf numFmtId="168" fontId="10" fillId="16" borderId="10" applyAlignment="1" applyProtection="1" pivotButton="0" quotePrefix="0" xfId="5">
      <alignment horizontal="center" vertical="center" wrapText="1"/>
      <protection locked="0" hidden="0"/>
    </xf>
    <xf numFmtId="168" fontId="10" fillId="16" borderId="11" applyAlignment="1" applyProtection="1" pivotButton="0" quotePrefix="0" xfId="5">
      <alignment horizontal="center" vertical="center" wrapText="1"/>
      <protection locked="0" hidden="0"/>
    </xf>
    <xf numFmtId="168" fontId="10" fillId="16" borderId="12" applyAlignment="1" applyProtection="1" pivotButton="0" quotePrefix="0" xfId="5">
      <alignment horizontal="center" vertical="center" wrapText="1"/>
      <protection locked="0" hidden="0"/>
    </xf>
    <xf numFmtId="168" fontId="10" fillId="16" borderId="10" applyAlignment="1" applyProtection="1" pivotButton="0" quotePrefix="0" xfId="5">
      <alignment vertical="center" wrapText="1"/>
      <protection locked="0" hidden="0"/>
    </xf>
    <xf numFmtId="168" fontId="10" fillId="16" borderId="11" applyAlignment="1" applyProtection="1" pivotButton="0" quotePrefix="0" xfId="5">
      <alignment vertical="center" wrapText="1"/>
      <protection locked="0" hidden="0"/>
    </xf>
    <xf numFmtId="168" fontId="10" fillId="16" borderId="12" applyAlignment="1" applyProtection="1" pivotButton="0" quotePrefix="0" xfId="5">
      <alignment vertical="center" wrapText="1"/>
      <protection locked="0" hidden="0"/>
    </xf>
    <xf numFmtId="168" fontId="13" fillId="0" borderId="10" applyAlignment="1" applyProtection="1" pivotButton="0" quotePrefix="0" xfId="5">
      <alignment horizontal="center" vertical="center" wrapText="1"/>
      <protection locked="0" hidden="0"/>
    </xf>
    <xf numFmtId="168" fontId="13" fillId="0" borderId="11" applyAlignment="1" applyProtection="1" pivotButton="0" quotePrefix="0" xfId="5">
      <alignment horizontal="center" vertical="center" wrapText="1"/>
      <protection locked="0" hidden="0"/>
    </xf>
    <xf numFmtId="168" fontId="13" fillId="0" borderId="12" applyAlignment="1" applyProtection="1" pivotButton="0" quotePrefix="0" xfId="5">
      <alignment horizontal="center" vertical="center" wrapText="1"/>
      <protection locked="0" hidden="0"/>
    </xf>
    <xf numFmtId="164" fontId="0" fillId="0" borderId="10" applyAlignment="1" applyProtection="1" pivotButton="0" quotePrefix="0" xfId="0">
      <alignment horizontal="center" wrapText="1"/>
      <protection locked="0" hidden="0"/>
    </xf>
    <xf numFmtId="164" fontId="0" fillId="0" borderId="11" applyAlignment="1" applyProtection="1" pivotButton="0" quotePrefix="0" xfId="0">
      <alignment horizontal="center" wrapText="1"/>
      <protection locked="0" hidden="0"/>
    </xf>
    <xf numFmtId="164" fontId="0" fillId="0" borderId="12" applyAlignment="1" applyProtection="1" pivotButton="0" quotePrefix="0" xfId="0">
      <alignment horizontal="center" wrapText="1"/>
      <protection locked="0" hidden="0"/>
    </xf>
    <xf numFmtId="2" fontId="0" fillId="8" borderId="10" applyAlignment="1" applyProtection="1" pivotButton="0" quotePrefix="0" xfId="0">
      <alignment horizontal="center" vertical="center" wrapText="1"/>
      <protection locked="0" hidden="0"/>
    </xf>
    <xf numFmtId="2" fontId="0" fillId="8" borderId="11" applyAlignment="1" applyProtection="1" pivotButton="0" quotePrefix="0" xfId="0">
      <alignment horizontal="center" vertical="center" wrapText="1"/>
      <protection locked="0" hidden="0"/>
    </xf>
    <xf numFmtId="2" fontId="0" fillId="8" borderId="12" applyAlignment="1" applyProtection="1" pivotButton="0" quotePrefix="0" xfId="0">
      <alignment horizontal="center" vertical="center" wrapText="1"/>
      <protection locked="0" hidden="0"/>
    </xf>
    <xf numFmtId="2" fontId="0" fillId="8" borderId="2" applyAlignment="1" applyProtection="1" pivotButton="0" quotePrefix="0" xfId="0">
      <alignment horizontal="center" vertical="center" wrapText="1"/>
      <protection locked="0" hidden="0"/>
    </xf>
    <xf numFmtId="2" fontId="0" fillId="8" borderId="10" applyAlignment="1" pivotButton="0" quotePrefix="0" xfId="0">
      <alignment horizontal="center" vertical="center" wrapText="1"/>
    </xf>
    <xf numFmtId="2" fontId="0" fillId="8" borderId="11" applyAlignment="1" pivotButton="0" quotePrefix="0" xfId="0">
      <alignment horizontal="center" vertical="center" wrapText="1"/>
    </xf>
    <xf numFmtId="2" fontId="0" fillId="8" borderId="12" applyAlignment="1" pivotButton="0" quotePrefix="0" xfId="0">
      <alignment horizontal="center" vertical="center" wrapText="1"/>
    </xf>
    <xf numFmtId="168" fontId="10" fillId="16" borderId="2" applyAlignment="1" applyProtection="1" pivotButton="0" quotePrefix="0" xfId="5">
      <alignment horizontal="center" vertical="top" wrapText="1"/>
      <protection locked="0" hidden="0"/>
    </xf>
    <xf numFmtId="2" fontId="8" fillId="8" borderId="10" applyAlignment="1" pivotButton="0" quotePrefix="0" xfId="0">
      <alignment horizontal="center" vertical="center" wrapText="1"/>
    </xf>
    <xf numFmtId="0" fontId="8" fillId="8" borderId="11" applyAlignment="1" pivotButton="0" quotePrefix="0" xfId="0">
      <alignment horizontal="center" vertical="center" wrapText="1"/>
    </xf>
    <xf numFmtId="0" fontId="8" fillId="8" borderId="12" applyAlignment="1" pivotButton="0" quotePrefix="0" xfId="0">
      <alignment horizontal="center" vertical="center" wrapText="1"/>
    </xf>
    <xf numFmtId="2" fontId="7" fillId="8" borderId="2" applyAlignment="1" applyProtection="1" pivotButton="0" quotePrefix="0" xfId="1">
      <alignment horizontal="center" vertical="center" wrapText="1"/>
      <protection locked="0" hidden="0"/>
    </xf>
    <xf numFmtId="2" fontId="7" fillId="8" borderId="10" applyAlignment="1" pivotButton="0" quotePrefix="0" xfId="0">
      <alignment horizontal="center" vertical="center" wrapText="1"/>
    </xf>
    <xf numFmtId="0" fontId="7" fillId="8" borderId="11" applyAlignment="1" pivotButton="0" quotePrefix="0" xfId="0">
      <alignment horizontal="center" vertical="center" wrapText="1"/>
    </xf>
    <xf numFmtId="0" fontId="7" fillId="8" borderId="12" applyAlignment="1" pivotButton="0" quotePrefix="0" xfId="0">
      <alignment horizontal="center" vertical="center" wrapText="1"/>
    </xf>
    <xf numFmtId="168" fontId="0" fillId="0" borderId="2" applyAlignment="1" applyProtection="1" pivotButton="0" quotePrefix="0" xfId="0">
      <alignment horizontal="center" vertical="center" wrapText="1"/>
      <protection locked="0" hidden="0"/>
    </xf>
    <xf numFmtId="168" fontId="3" fillId="4" borderId="1" applyAlignment="1" applyProtection="1" pivotButton="0" quotePrefix="0" xfId="3">
      <alignment horizontal="center" vertical="center" wrapText="1"/>
      <protection locked="0" hidden="0"/>
    </xf>
    <xf numFmtId="168" fontId="3" fillId="4" borderId="32" applyAlignment="1" applyProtection="1" pivotButton="0" quotePrefix="0" xfId="3">
      <alignment horizontal="center" vertical="center"/>
      <protection locked="0" hidden="0"/>
    </xf>
    <xf numFmtId="168" fontId="5" fillId="0" borderId="13" applyAlignment="1" applyProtection="1" pivotButton="0" quotePrefix="0" xfId="0">
      <alignment horizontal="center" vertical="center" wrapText="1"/>
      <protection locked="0" hidden="0"/>
    </xf>
    <xf numFmtId="168" fontId="5" fillId="0" borderId="14" applyAlignment="1" applyProtection="1" pivotButton="0" quotePrefix="0" xfId="0">
      <alignment horizontal="center" vertical="center" wrapText="1"/>
      <protection locked="0" hidden="0"/>
    </xf>
    <xf numFmtId="168" fontId="5" fillId="0" borderId="15" applyAlignment="1" applyProtection="1" pivotButton="0" quotePrefix="0" xfId="0">
      <alignment horizontal="center" vertical="center" wrapText="1"/>
      <protection locked="0" hidden="0"/>
    </xf>
    <xf numFmtId="168" fontId="2" fillId="3" borderId="33" applyAlignment="1" applyProtection="1" pivotButton="0" quotePrefix="0" xfId="2">
      <alignment horizontal="center" vertical="center"/>
      <protection locked="0" hidden="0"/>
    </xf>
    <xf numFmtId="168" fontId="2" fillId="3" borderId="34" applyAlignment="1" applyProtection="1" pivotButton="0" quotePrefix="0" xfId="2">
      <alignment horizontal="center" vertical="center"/>
      <protection locked="0" hidden="0"/>
    </xf>
    <xf numFmtId="168" fontId="2" fillId="3" borderId="35" applyAlignment="1" applyProtection="1" pivotButton="0" quotePrefix="0" xfId="2">
      <alignment horizontal="center" vertical="center"/>
      <protection locked="0" hidden="0"/>
    </xf>
    <xf numFmtId="168" fontId="2" fillId="3" borderId="32" applyAlignment="1" applyProtection="1" pivotButton="0" quotePrefix="0" xfId="2">
      <alignment horizontal="center" vertical="center"/>
      <protection locked="0" hidden="0"/>
    </xf>
    <xf numFmtId="168" fontId="10" fillId="16" borderId="13" applyAlignment="1" applyProtection="1" pivotButton="0" quotePrefix="0" xfId="5">
      <alignment horizontal="center" vertical="center" wrapText="1"/>
      <protection locked="0" hidden="0"/>
    </xf>
    <xf numFmtId="168" fontId="10" fillId="16" borderId="14" applyAlignment="1" applyProtection="1" pivotButton="0" quotePrefix="0" xfId="5">
      <alignment horizontal="center" vertical="center" wrapText="1"/>
      <protection locked="0" hidden="0"/>
    </xf>
    <xf numFmtId="168" fontId="10" fillId="16" borderId="15" applyAlignment="1" applyProtection="1" pivotButton="0" quotePrefix="0" xfId="5">
      <alignment horizontal="center" vertical="center" wrapText="1"/>
      <protection locked="0" hidden="0"/>
    </xf>
    <xf numFmtId="14" fontId="0" fillId="0" borderId="11" applyAlignment="1" applyProtection="1" pivotButton="0" quotePrefix="0" xfId="0">
      <alignment horizontal="center" vertical="center" wrapText="1"/>
      <protection locked="0" hidden="0"/>
    </xf>
    <xf numFmtId="14" fontId="0" fillId="0" borderId="12" applyAlignment="1" applyProtection="1" pivotButton="0" quotePrefix="0" xfId="0">
      <alignment horizontal="center" vertical="center" wrapText="1"/>
      <protection locked="0" hidden="0"/>
    </xf>
    <xf numFmtId="168" fontId="7" fillId="0" borderId="10" applyAlignment="1" applyProtection="1" pivotButton="0" quotePrefix="0" xfId="5">
      <alignment vertical="center" wrapText="1"/>
      <protection locked="0" hidden="0"/>
    </xf>
    <xf numFmtId="168" fontId="7" fillId="0" borderId="11" applyAlignment="1" applyProtection="1" pivotButton="0" quotePrefix="0" xfId="5">
      <alignment vertical="center" wrapText="1"/>
      <protection locked="0" hidden="0"/>
    </xf>
    <xf numFmtId="168" fontId="7" fillId="0" borderId="12" applyAlignment="1" applyProtection="1" pivotButton="0" quotePrefix="0" xfId="5">
      <alignment vertical="center" wrapText="1"/>
      <protection locked="0" hidden="0"/>
    </xf>
    <xf numFmtId="168" fontId="7" fillId="0" borderId="10" applyAlignment="1" applyProtection="1" pivotButton="0" quotePrefix="0" xfId="5">
      <alignment horizontal="center" vertical="center" wrapText="1"/>
      <protection locked="0" hidden="0"/>
    </xf>
    <xf numFmtId="168" fontId="7" fillId="0" borderId="11" applyAlignment="1" applyProtection="1" pivotButton="0" quotePrefix="0" xfId="5">
      <alignment horizontal="center" vertical="center" wrapText="1"/>
      <protection locked="0" hidden="0"/>
    </xf>
    <xf numFmtId="168" fontId="7" fillId="0" borderId="12" applyAlignment="1" applyProtection="1" pivotButton="0" quotePrefix="0" xfId="5">
      <alignment horizontal="center" vertical="center" wrapText="1"/>
      <protection locked="0" hidden="0"/>
    </xf>
    <xf numFmtId="168" fontId="10" fillId="16" borderId="2" applyAlignment="1" applyProtection="1" pivotButton="0" quotePrefix="0" xfId="5">
      <alignment horizontal="center" vertical="center" wrapText="1"/>
      <protection locked="0" hidden="0"/>
    </xf>
    <xf numFmtId="166" fontId="0" fillId="0" borderId="10" applyAlignment="1" applyProtection="1" pivotButton="0" quotePrefix="0" xfId="0">
      <alignment horizontal="center" vertical="center" wrapText="1"/>
      <protection locked="1" hidden="1"/>
    </xf>
    <xf numFmtId="166" fontId="0" fillId="0" borderId="11" applyAlignment="1" applyProtection="1" pivotButton="0" quotePrefix="0" xfId="0">
      <alignment horizontal="center" vertical="center" wrapText="1"/>
      <protection locked="1" hidden="1"/>
    </xf>
    <xf numFmtId="166" fontId="0" fillId="0" borderId="12" applyAlignment="1" applyProtection="1" pivotButton="0" quotePrefix="0" xfId="0">
      <alignment horizontal="center" vertical="center" wrapText="1"/>
      <protection locked="1" hidden="1"/>
    </xf>
    <xf numFmtId="2" fontId="0" fillId="0" borderId="10" applyAlignment="1" applyProtection="1" pivotButton="0" quotePrefix="0" xfId="0">
      <alignment horizontal="center" vertical="center" wrapText="1"/>
      <protection locked="1" hidden="1"/>
    </xf>
    <xf numFmtId="2" fontId="0" fillId="0" borderId="11" applyAlignment="1" applyProtection="1" pivotButton="0" quotePrefix="0" xfId="0">
      <alignment horizontal="center" vertical="center" wrapText="1"/>
      <protection locked="1" hidden="1"/>
    </xf>
    <xf numFmtId="2" fontId="0" fillId="0" borderId="12" applyAlignment="1" applyProtection="1" pivotButton="0" quotePrefix="0" xfId="0">
      <alignment horizontal="center" vertical="center" wrapText="1"/>
      <protection locked="1" hidden="1"/>
    </xf>
    <xf numFmtId="166" fontId="0" fillId="0" borderId="10" applyAlignment="1" pivotButton="0" quotePrefix="0" xfId="0">
      <alignment horizontal="center" vertical="center" wrapText="1"/>
    </xf>
    <xf numFmtId="166" fontId="0" fillId="0" borderId="11" applyAlignment="1" pivotButton="0" quotePrefix="0" xfId="0">
      <alignment horizontal="center" vertical="center" wrapText="1"/>
    </xf>
    <xf numFmtId="166" fontId="0" fillId="0" borderId="12" applyAlignment="1" pivotButton="0" quotePrefix="0" xfId="0">
      <alignment horizontal="center" vertical="center" wrapText="1"/>
    </xf>
    <xf numFmtId="168" fontId="3" fillId="4" borderId="1" applyAlignment="1" applyProtection="1" pivotButton="0" quotePrefix="0" xfId="3">
      <alignment horizontal="center" vertical="center"/>
      <protection locked="0" hidden="0"/>
    </xf>
    <xf numFmtId="168" fontId="0" fillId="0" borderId="2" applyAlignment="1" applyProtection="1" pivotButton="0" quotePrefix="0" xfId="0">
      <alignment vertical="center" wrapText="1"/>
      <protection locked="0" hidden="0"/>
    </xf>
    <xf numFmtId="168" fontId="2" fillId="3" borderId="1" applyAlignment="1" applyProtection="1" pivotButton="0" quotePrefix="0" xfId="2">
      <alignment horizontal="center" vertical="center"/>
      <protection locked="0" hidden="0"/>
    </xf>
    <xf numFmtId="166" fontId="0" fillId="0" borderId="2" applyAlignment="1" applyProtection="1" pivotButton="0" quotePrefix="0" xfId="0">
      <alignment horizontal="center" vertical="center" wrapText="1"/>
      <protection locked="1" hidden="1"/>
    </xf>
    <xf numFmtId="2" fontId="0" fillId="0" borderId="2" applyAlignment="1" applyProtection="1" pivotButton="0" quotePrefix="0" xfId="0">
      <alignment horizontal="center" vertical="center" wrapText="1"/>
      <protection locked="1" hidden="1"/>
    </xf>
    <xf numFmtId="166" fontId="0" fillId="0" borderId="2" applyAlignment="1" pivotButton="0" quotePrefix="0" xfId="0">
      <alignment horizontal="center" vertical="center" wrapText="1"/>
    </xf>
    <xf numFmtId="168" fontId="10" fillId="16" borderId="2" applyAlignment="1" applyProtection="1" pivotButton="0" quotePrefix="0" xfId="5">
      <alignment vertical="center" wrapText="1"/>
      <protection locked="0" hidden="0"/>
    </xf>
    <xf numFmtId="0" fontId="0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164" fontId="0" fillId="8" borderId="0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2">
      <alignment horizontal="center" vertical="center"/>
      <protection locked="0" hidden="0"/>
    </xf>
    <xf numFmtId="168" fontId="5" fillId="0" borderId="10" applyAlignment="1" applyProtection="1" pivotButton="0" quotePrefix="0" xfId="2">
      <alignment horizontal="center" vertical="center" wrapText="1"/>
      <protection locked="0" hidden="0"/>
    </xf>
    <xf numFmtId="168" fontId="5" fillId="0" borderId="11" applyAlignment="1" applyProtection="1" pivotButton="0" quotePrefix="0" xfId="2">
      <alignment horizontal="center" vertical="center" wrapText="1"/>
      <protection locked="0" hidden="0"/>
    </xf>
    <xf numFmtId="168" fontId="5" fillId="0" borderId="12" applyAlignment="1" applyProtection="1" pivotButton="0" quotePrefix="0" xfId="2">
      <alignment horizontal="center" vertical="center" wrapText="1"/>
      <protection locked="0" hidden="0"/>
    </xf>
    <xf numFmtId="0" fontId="2" fillId="0" borderId="1" applyAlignment="1" pivotButton="0" quotePrefix="0" xfId="2">
      <alignment horizontal="center" vertical="center"/>
    </xf>
    <xf numFmtId="0" fontId="7" fillId="0" borderId="10" applyAlignment="1" applyProtection="1" pivotButton="0" quotePrefix="0" xfId="5">
      <alignment horizontal="center" vertical="center" wrapText="1"/>
      <protection locked="0" hidden="0"/>
    </xf>
    <xf numFmtId="0" fontId="7" fillId="0" borderId="11" applyAlignment="1" applyProtection="1" pivotButton="0" quotePrefix="0" xfId="5">
      <alignment horizontal="center" vertical="center" wrapText="1"/>
      <protection locked="0" hidden="0"/>
    </xf>
    <xf numFmtId="0" fontId="7" fillId="0" borderId="12" applyAlignment="1" applyProtection="1" pivotButton="0" quotePrefix="0" xfId="5">
      <alignment horizontal="center" vertical="center" wrapText="1"/>
      <protection locked="0" hidden="0"/>
    </xf>
    <xf numFmtId="168" fontId="5" fillId="0" borderId="2" applyAlignment="1" applyProtection="1" pivotButton="0" quotePrefix="0" xfId="5">
      <alignment horizontal="center" vertical="center" wrapText="1"/>
      <protection locked="0" hidden="0"/>
    </xf>
    <xf numFmtId="0" fontId="7" fillId="0" borderId="10" applyAlignment="1" applyProtection="1" pivotButton="0" quotePrefix="0" xfId="1">
      <alignment horizontal="center" vertical="center" wrapText="1"/>
      <protection locked="0" hidden="0"/>
    </xf>
    <xf numFmtId="0" fontId="7" fillId="0" borderId="11" applyAlignment="1" applyProtection="1" pivotButton="0" quotePrefix="0" xfId="1">
      <alignment horizontal="center" vertical="center" wrapText="1"/>
      <protection locked="0" hidden="0"/>
    </xf>
    <xf numFmtId="0" fontId="7" fillId="0" borderId="12" applyAlignment="1" applyProtection="1" pivotButton="0" quotePrefix="0" xfId="1">
      <alignment horizontal="center" vertical="center" wrapText="1"/>
      <protection locked="0" hidden="0"/>
    </xf>
    <xf numFmtId="0" fontId="2" fillId="0" borderId="1" applyAlignment="1" pivotButton="0" quotePrefix="0" xfId="2">
      <alignment horizontal="center" vertical="center" wrapText="1"/>
    </xf>
    <xf numFmtId="0" fontId="13" fillId="8" borderId="1" applyAlignment="1" applyProtection="1" pivotButton="0" quotePrefix="0" xfId="3">
      <alignment horizontal="center" vertical="center" wrapText="1"/>
      <protection locked="0" hidden="0"/>
    </xf>
    <xf numFmtId="0" fontId="13" fillId="8" borderId="1" applyAlignment="1" applyProtection="1" pivotButton="0" quotePrefix="0" xfId="3">
      <alignment horizontal="center" vertical="center"/>
      <protection locked="0" hidden="0"/>
    </xf>
    <xf numFmtId="0" fontId="0" fillId="8" borderId="13" applyAlignment="1" applyProtection="1" pivotButton="0" quotePrefix="0" xfId="0">
      <alignment horizontal="center" vertical="center" wrapText="1"/>
      <protection locked="0" hidden="0"/>
    </xf>
    <xf numFmtId="0" fontId="0" fillId="8" borderId="14" applyAlignment="1" applyProtection="1" pivotButton="0" quotePrefix="0" xfId="0">
      <alignment horizontal="center" vertical="center" wrapText="1"/>
      <protection locked="0" hidden="0"/>
    </xf>
    <xf numFmtId="0" fontId="0" fillId="8" borderId="15" applyAlignment="1" applyProtection="1" pivotButton="0" quotePrefix="0" xfId="0">
      <alignment horizontal="center" vertical="center" wrapText="1"/>
      <protection locked="0" hidden="0"/>
    </xf>
    <xf numFmtId="0" fontId="0" fillId="8" borderId="10" applyAlignment="1" applyProtection="1" pivotButton="0" quotePrefix="0" xfId="0">
      <alignment horizontal="center" vertical="center" wrapText="1"/>
      <protection locked="0" hidden="0"/>
    </xf>
    <xf numFmtId="0" fontId="0" fillId="8" borderId="11" applyAlignment="1" applyProtection="1" pivotButton="0" quotePrefix="0" xfId="0">
      <alignment horizontal="center" vertical="center" wrapText="1"/>
      <protection locked="0" hidden="0"/>
    </xf>
    <xf numFmtId="0" fontId="0" fillId="8" borderId="12" applyAlignment="1" applyProtection="1" pivotButton="0" quotePrefix="0" xfId="0">
      <alignment horizontal="center" vertical="center" wrapText="1"/>
      <protection locked="0" hidden="0"/>
    </xf>
    <xf numFmtId="14" fontId="0" fillId="8" borderId="10" applyAlignment="1" applyProtection="1" pivotButton="0" quotePrefix="0" xfId="0">
      <alignment horizontal="center" vertical="center" wrapText="1"/>
      <protection locked="0" hidden="0"/>
    </xf>
    <xf numFmtId="168" fontId="5" fillId="8" borderId="10" applyAlignment="1" applyProtection="1" pivotButton="0" quotePrefix="0" xfId="0">
      <alignment horizontal="center" vertical="center" wrapText="1"/>
      <protection locked="0" hidden="0"/>
    </xf>
    <xf numFmtId="168" fontId="5" fillId="8" borderId="11" applyAlignment="1" applyProtection="1" pivotButton="0" quotePrefix="0" xfId="0">
      <alignment horizontal="center" vertical="center" wrapText="1"/>
      <protection locked="0" hidden="0"/>
    </xf>
    <xf numFmtId="168" fontId="5" fillId="8" borderId="12" applyAlignment="1" applyProtection="1" pivotButton="0" quotePrefix="0" xfId="0">
      <alignment horizontal="center" vertical="center" wrapText="1"/>
      <protection locked="0" hidden="0"/>
    </xf>
    <xf numFmtId="0" fontId="0" fillId="8" borderId="0" applyAlignment="1" pivotButton="0" quotePrefix="0" xfId="0">
      <alignment horizontal="center" vertical="center" wrapText="1"/>
    </xf>
    <xf numFmtId="164" fontId="0" fillId="0" borderId="34" applyAlignment="1" applyProtection="1" pivotButton="0" quotePrefix="0" xfId="0">
      <alignment horizontal="center" vertical="center" wrapText="1"/>
      <protection locked="0" hidden="0"/>
    </xf>
    <xf numFmtId="10" fontId="0" fillId="9" borderId="7" applyAlignment="1" pivotButton="0" quotePrefix="0" xfId="0">
      <alignment horizontal="center" vertical="center" wrapText="1"/>
    </xf>
    <xf numFmtId="10" fontId="0" fillId="9" borderId="8" applyAlignment="1" pivotButton="0" quotePrefix="0" xfId="0">
      <alignment horizontal="center" vertical="center" wrapText="1"/>
    </xf>
    <xf numFmtId="164" fontId="0" fillId="0" borderId="36" applyAlignment="1" applyProtection="1" pivotButton="0" quotePrefix="0" xfId="0">
      <alignment horizontal="center" vertical="center" wrapText="1"/>
      <protection locked="0" hidden="0"/>
    </xf>
    <xf numFmtId="166" fontId="0" fillId="13" borderId="10" applyAlignment="1" pivotButton="0" quotePrefix="0" xfId="0">
      <alignment horizontal="center" vertical="center" wrapText="1"/>
    </xf>
    <xf numFmtId="166" fontId="0" fillId="13" borderId="11" applyAlignment="1" pivotButton="0" quotePrefix="0" xfId="0">
      <alignment horizontal="center" vertical="center" wrapText="1"/>
    </xf>
    <xf numFmtId="166" fontId="0" fillId="13" borderId="12" applyAlignment="1" pivotButton="0" quotePrefix="0" xfId="0">
      <alignment horizontal="center" vertical="center" wrapText="1"/>
    </xf>
    <xf numFmtId="164" fontId="0" fillId="0" borderId="10" applyAlignment="1" pivotButton="0" quotePrefix="0" xfId="0">
      <alignment horizontal="center" vertical="center" wrapText="1"/>
    </xf>
    <xf numFmtId="164" fontId="0" fillId="0" borderId="11" applyAlignment="1" pivotButton="0" quotePrefix="0" xfId="0">
      <alignment horizontal="center" vertical="center" wrapText="1"/>
    </xf>
    <xf numFmtId="164" fontId="0" fillId="0" borderId="12" applyAlignment="1" pivotButton="0" quotePrefix="0" xfId="0">
      <alignment horizontal="center" vertical="center" wrapText="1"/>
    </xf>
    <xf numFmtId="166" fontId="3" fillId="4" borderId="1" applyAlignment="1" pivotButton="0" quotePrefix="0" xfId="3">
      <alignment horizontal="center" vertical="center" wrapText="1"/>
    </xf>
    <xf numFmtId="166" fontId="3" fillId="4" borderId="23" applyAlignment="1" pivotButton="0" quotePrefix="0" xfId="3">
      <alignment horizontal="center" vertical="center" wrapText="1"/>
    </xf>
    <xf numFmtId="166" fontId="3" fillId="4" borderId="24" applyAlignment="1" pivotButton="0" quotePrefix="0" xfId="3">
      <alignment horizontal="center" vertical="center" wrapText="1"/>
    </xf>
    <xf numFmtId="166" fontId="3" fillId="4" borderId="25" applyAlignment="1" pivotButton="0" quotePrefix="0" xfId="3">
      <alignment horizontal="center" vertical="center" wrapText="1"/>
    </xf>
    <xf numFmtId="166" fontId="0" fillId="0" borderId="37" applyAlignment="1" pivotButton="0" quotePrefix="0" xfId="0">
      <alignment horizontal="center" vertical="center" wrapText="1"/>
    </xf>
    <xf numFmtId="166" fontId="0" fillId="0" borderId="38" applyAlignment="1" pivotButton="0" quotePrefix="0" xfId="0">
      <alignment horizontal="center" vertical="center" wrapText="1"/>
    </xf>
    <xf numFmtId="166" fontId="0" fillId="0" borderId="39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166" fontId="13" fillId="0" borderId="23" applyAlignment="1" pivotButton="0" quotePrefix="0" xfId="3">
      <alignment horizontal="center" vertical="center" wrapText="1"/>
    </xf>
    <xf numFmtId="166" fontId="13" fillId="0" borderId="24" applyAlignment="1" pivotButton="0" quotePrefix="0" xfId="3">
      <alignment horizontal="center" vertical="center" wrapText="1"/>
    </xf>
    <xf numFmtId="166" fontId="13" fillId="0" borderId="25" applyAlignment="1" pivotButton="0" quotePrefix="0" xfId="3">
      <alignment horizontal="center" vertical="center" wrapText="1"/>
    </xf>
    <xf numFmtId="166" fontId="13" fillId="0" borderId="33" applyAlignment="1" pivotButton="0" quotePrefix="0" xfId="3">
      <alignment horizontal="center" vertical="center" wrapText="1"/>
    </xf>
    <xf numFmtId="166" fontId="13" fillId="0" borderId="34" applyAlignment="1" pivotButton="0" quotePrefix="0" xfId="3">
      <alignment horizontal="center" vertical="center" wrapText="1"/>
    </xf>
    <xf numFmtId="166" fontId="13" fillId="0" borderId="35" applyAlignment="1" pivotButton="0" quotePrefix="0" xfId="3">
      <alignment horizontal="center" vertical="center" wrapText="1"/>
    </xf>
    <xf numFmtId="166" fontId="3" fillId="4" borderId="23" applyAlignment="1" pivotButton="0" quotePrefix="0" xfId="3">
      <alignment horizontal="center" vertical="center" wrapText="1"/>
    </xf>
    <xf numFmtId="166" fontId="3" fillId="4" borderId="24" applyAlignment="1" pivotButton="0" quotePrefix="0" xfId="3">
      <alignment horizontal="center" vertical="center" wrapText="1"/>
    </xf>
    <xf numFmtId="166" fontId="3" fillId="4" borderId="25" applyAlignment="1" pivotButton="0" quotePrefix="0" xfId="3">
      <alignment horizontal="center" vertical="center" wrapText="1"/>
    </xf>
    <xf numFmtId="9" fontId="14" fillId="18" borderId="42" applyAlignment="1" pivotButton="0" quotePrefix="0" xfId="7">
      <alignment horizontal="center" vertical="center" wrapText="1"/>
    </xf>
    <xf numFmtId="9" fontId="14" fillId="18" borderId="24" applyAlignment="1" pivotButton="0" quotePrefix="0" xfId="7">
      <alignment horizontal="center" vertical="center" wrapText="1"/>
    </xf>
    <xf numFmtId="9" fontId="14" fillId="18" borderId="44" applyAlignment="1" pivotButton="0" quotePrefix="0" xfId="7">
      <alignment horizontal="center" vertical="center" wrapText="1"/>
    </xf>
    <xf numFmtId="2" fontId="3" fillId="4" borderId="23" applyAlignment="1" pivotButton="0" quotePrefix="0" xfId="3">
      <alignment horizontal="center" vertical="center" wrapText="1"/>
    </xf>
    <xf numFmtId="2" fontId="3" fillId="4" borderId="24" applyAlignment="1" pivotButton="0" quotePrefix="0" xfId="3">
      <alignment horizontal="center" vertical="center" wrapText="1"/>
    </xf>
    <xf numFmtId="2" fontId="3" fillId="4" borderId="25" applyAlignment="1" pivotButton="0" quotePrefix="0" xfId="3">
      <alignment horizontal="center" vertical="center" wrapText="1"/>
    </xf>
    <xf numFmtId="166" fontId="13" fillId="0" borderId="23" applyAlignment="1" pivotButton="0" quotePrefix="0" xfId="3">
      <alignment horizontal="center" vertical="center" wrapText="1"/>
    </xf>
    <xf numFmtId="166" fontId="13" fillId="0" borderId="24" applyAlignment="1" pivotButton="0" quotePrefix="0" xfId="3">
      <alignment horizontal="center" vertical="center" wrapText="1"/>
    </xf>
    <xf numFmtId="166" fontId="13" fillId="0" borderId="25" applyAlignment="1" pivotButton="0" quotePrefix="0" xfId="3">
      <alignment horizontal="center" vertical="center" wrapText="1"/>
    </xf>
    <xf numFmtId="166" fontId="13" fillId="0" borderId="23" applyAlignment="1" pivotButton="0" quotePrefix="0" xfId="1">
      <alignment horizontal="center" vertical="center" wrapText="1"/>
    </xf>
    <xf numFmtId="166" fontId="13" fillId="0" borderId="24" applyAlignment="1" pivotButton="0" quotePrefix="0" xfId="1">
      <alignment horizontal="center" vertical="center" wrapText="1"/>
    </xf>
    <xf numFmtId="166" fontId="13" fillId="0" borderId="25" applyAlignment="1" pivotButton="0" quotePrefix="0" xfId="1">
      <alignment horizontal="center" vertical="center" wrapText="1"/>
    </xf>
    <xf numFmtId="166" fontId="13" fillId="0" borderId="33" applyAlignment="1" pivotButton="0" quotePrefix="0" xfId="1">
      <alignment horizontal="center" vertical="center" wrapText="1"/>
    </xf>
    <xf numFmtId="166" fontId="13" fillId="0" borderId="34" applyAlignment="1" pivotButton="0" quotePrefix="0" xfId="1">
      <alignment horizontal="center" vertical="center" wrapText="1"/>
    </xf>
    <xf numFmtId="166" fontId="13" fillId="0" borderId="35" applyAlignment="1" pivotButton="0" quotePrefix="0" xfId="1">
      <alignment horizontal="center" vertical="center" wrapText="1"/>
    </xf>
    <xf numFmtId="9" fontId="14" fillId="18" borderId="42" applyAlignment="1" pivotButton="0" quotePrefix="0" xfId="7">
      <alignment horizontal="center" vertical="center" wrapText="1"/>
    </xf>
    <xf numFmtId="9" fontId="14" fillId="18" borderId="24" applyAlignment="1" pivotButton="0" quotePrefix="0" xfId="7">
      <alignment horizontal="center" vertical="center" wrapText="1"/>
    </xf>
    <xf numFmtId="9" fontId="14" fillId="18" borderId="44" applyAlignment="1" pivotButton="0" quotePrefix="0" xfId="7">
      <alignment horizontal="center" vertical="center" wrapText="1"/>
    </xf>
    <xf numFmtId="2" fontId="3" fillId="4" borderId="23" applyAlignment="1" pivotButton="0" quotePrefix="0" xfId="3">
      <alignment horizontal="center" vertical="center" wrapText="1"/>
    </xf>
    <xf numFmtId="2" fontId="3" fillId="4" borderId="24" applyAlignment="1" pivotButton="0" quotePrefix="0" xfId="3">
      <alignment horizontal="center" vertical="center" wrapText="1"/>
    </xf>
    <xf numFmtId="2" fontId="3" fillId="4" borderId="25" applyAlignment="1" pivotButton="0" quotePrefix="0" xfId="3">
      <alignment horizontal="center" vertical="center" wrapText="1"/>
    </xf>
    <xf numFmtId="166" fontId="13" fillId="0" borderId="23" applyAlignment="1" pivotButton="0" quotePrefix="0" xfId="3">
      <alignment horizontal="center" vertical="center"/>
    </xf>
    <xf numFmtId="166" fontId="13" fillId="0" borderId="24" applyAlignment="1" pivotButton="0" quotePrefix="0" xfId="3">
      <alignment horizontal="center" vertical="center"/>
    </xf>
    <xf numFmtId="166" fontId="13" fillId="0" borderId="25" applyAlignment="1" pivotButton="0" quotePrefix="0" xfId="3">
      <alignment horizontal="center" vertical="center"/>
    </xf>
    <xf numFmtId="164" fontId="0" fillId="0" borderId="2" applyAlignment="1" applyProtection="1" pivotButton="0" quotePrefix="0" xfId="0">
      <alignment horizontal="right" vertical="center" wrapText="1"/>
      <protection locked="0" hidden="0"/>
    </xf>
    <xf numFmtId="164" fontId="11" fillId="0" borderId="16" applyAlignment="1" applyProtection="1" pivotButton="0" quotePrefix="0" xfId="3">
      <alignment horizontal="center" vertical="center" wrapText="1"/>
      <protection locked="0" hidden="0"/>
    </xf>
    <xf numFmtId="164" fontId="11" fillId="0" borderId="9" applyAlignment="1" applyProtection="1" pivotButton="0" quotePrefix="0" xfId="3">
      <alignment horizontal="center" vertical="center" wrapText="1"/>
      <protection locked="0" hidden="0"/>
    </xf>
    <xf numFmtId="164" fontId="3" fillId="4" borderId="2" applyAlignment="1" applyProtection="1" pivotButton="0" quotePrefix="0" xfId="3">
      <alignment horizontal="center" vertical="center" wrapText="1"/>
      <protection locked="0" hidden="0"/>
    </xf>
    <xf numFmtId="164" fontId="12" fillId="0" borderId="2" applyAlignment="1" applyProtection="1" pivotButton="0" quotePrefix="0" xfId="0">
      <alignment horizontal="center" vertical="center" wrapText="1"/>
      <protection locked="0" hidden="0"/>
    </xf>
    <xf numFmtId="2" fontId="7" fillId="0" borderId="10" applyAlignment="1" applyProtection="1" pivotButton="0" quotePrefix="0" xfId="1">
      <alignment horizontal="center" vertical="center" wrapText="1"/>
      <protection locked="0" hidden="0"/>
    </xf>
    <xf numFmtId="2" fontId="7" fillId="0" borderId="11" applyAlignment="1" applyProtection="1" pivotButton="0" quotePrefix="0" xfId="1">
      <alignment horizontal="center" vertical="center" wrapText="1"/>
      <protection locked="0" hidden="0"/>
    </xf>
    <xf numFmtId="2" fontId="7" fillId="0" borderId="12" applyAlignment="1" applyProtection="1" pivotButton="0" quotePrefix="0" xfId="1">
      <alignment horizontal="center" vertical="center" wrapText="1"/>
      <protection locked="0" hidden="0"/>
    </xf>
    <xf numFmtId="2" fontId="7" fillId="0" borderId="10" applyAlignment="1" pivotButton="0" quotePrefix="0" xfId="1">
      <alignment horizontal="center" vertical="center" wrapText="1"/>
    </xf>
    <xf numFmtId="2" fontId="7" fillId="0" borderId="11" applyAlignment="1" pivotButton="0" quotePrefix="0" xfId="1">
      <alignment horizontal="center" vertical="center" wrapText="1"/>
    </xf>
    <xf numFmtId="2" fontId="7" fillId="0" borderId="12" applyAlignment="1" pivotButton="0" quotePrefix="0" xfId="1">
      <alignment horizontal="center" vertical="center" wrapText="1"/>
    </xf>
    <xf numFmtId="0" fontId="7" fillId="0" borderId="11" applyAlignment="1" pivotButton="0" quotePrefix="0" xfId="1">
      <alignment horizontal="center" vertical="center" wrapText="1"/>
    </xf>
    <xf numFmtId="0" fontId="7" fillId="0" borderId="12" applyAlignment="1" pivotButton="0" quotePrefix="0" xfId="1">
      <alignment horizontal="center" vertical="center" wrapText="1"/>
    </xf>
    <xf numFmtId="168" fontId="5" fillId="9" borderId="2" applyAlignment="1" pivotButton="0" quotePrefix="0" xfId="0">
      <alignment horizontal="center" vertical="center" wrapText="1"/>
    </xf>
    <xf numFmtId="168" fontId="0" fillId="8" borderId="2" applyAlignment="1" applyProtection="1" pivotButton="0" quotePrefix="0" xfId="0">
      <alignment horizontal="center" vertical="center" wrapText="1"/>
      <protection locked="0" hidden="0"/>
    </xf>
    <xf numFmtId="168" fontId="7" fillId="8" borderId="2" applyAlignment="1" applyProtection="1" pivotButton="0" quotePrefix="0" xfId="5">
      <alignment horizontal="center" vertical="center" wrapText="1"/>
      <protection locked="0" hidden="0"/>
    </xf>
    <xf numFmtId="168" fontId="2" fillId="8" borderId="10" applyAlignment="1" applyProtection="1" pivotButton="0" quotePrefix="0" xfId="2">
      <alignment horizontal="center" vertical="center" wrapText="1"/>
      <protection locked="0" hidden="0"/>
    </xf>
    <xf numFmtId="168" fontId="2" fillId="8" borderId="11" applyAlignment="1" applyProtection="1" pivotButton="0" quotePrefix="0" xfId="2">
      <alignment horizontal="center" vertical="center" wrapText="1"/>
      <protection locked="0" hidden="0"/>
    </xf>
    <xf numFmtId="168" fontId="2" fillId="8" borderId="12" applyAlignment="1" applyProtection="1" pivotButton="0" quotePrefix="0" xfId="2">
      <alignment horizontal="center" vertical="center" wrapText="1"/>
      <protection locked="0" hidden="0"/>
    </xf>
    <xf numFmtId="168" fontId="7" fillId="0" borderId="2" applyAlignment="1" applyProtection="1" pivotButton="0" quotePrefix="0" xfId="1">
      <alignment horizontal="center" vertical="center" wrapText="1"/>
      <protection locked="0" hidden="0"/>
    </xf>
    <xf numFmtId="164" fontId="0" fillId="13" borderId="10" applyAlignment="1" applyProtection="1" pivotButton="0" quotePrefix="0" xfId="0">
      <alignment horizontal="center" vertical="center" wrapText="1"/>
      <protection locked="1" hidden="1"/>
    </xf>
    <xf numFmtId="166" fontId="0" fillId="13" borderId="10" applyAlignment="1" applyProtection="1" pivotButton="0" quotePrefix="0" xfId="0">
      <alignment horizontal="center" vertical="center" wrapText="1"/>
      <protection locked="0" hidden="0"/>
    </xf>
    <xf numFmtId="166" fontId="0" fillId="13" borderId="11" applyAlignment="1" applyProtection="1" pivotButton="0" quotePrefix="0" xfId="0">
      <alignment horizontal="center" vertical="center" wrapText="1"/>
      <protection locked="0" hidden="0"/>
    </xf>
    <xf numFmtId="166" fontId="0" fillId="13" borderId="12" applyAlignment="1" applyProtection="1" pivotButton="0" quotePrefix="0" xfId="0">
      <alignment horizontal="center" vertical="center" wrapText="1"/>
      <protection locked="0" hidden="0"/>
    </xf>
    <xf numFmtId="168" fontId="7" fillId="0" borderId="10" applyAlignment="1" applyProtection="1" pivotButton="0" quotePrefix="0" xfId="1">
      <alignment horizontal="center" vertical="center" wrapText="1"/>
      <protection locked="0" hidden="0"/>
    </xf>
    <xf numFmtId="168" fontId="7" fillId="0" borderId="11" applyAlignment="1" applyProtection="1" pivotButton="0" quotePrefix="0" xfId="1">
      <alignment horizontal="center" vertical="center" wrapText="1"/>
      <protection locked="0" hidden="0"/>
    </xf>
    <xf numFmtId="168" fontId="7" fillId="0" borderId="12" applyAlignment="1" applyProtection="1" pivotButton="0" quotePrefix="0" xfId="1">
      <alignment horizontal="center" vertical="center" wrapText="1"/>
      <protection locked="0" hidden="0"/>
    </xf>
    <xf numFmtId="166" fontId="0" fillId="0" borderId="10" applyAlignment="1" applyProtection="1" pivotButton="0" quotePrefix="0" xfId="0">
      <alignment horizontal="center" vertical="center" wrapText="1"/>
      <protection locked="0" hidden="0"/>
    </xf>
    <xf numFmtId="164" fontId="0" fillId="0" borderId="10" applyAlignment="1" applyProtection="1" pivotButton="0" quotePrefix="0" xfId="0">
      <alignment horizontal="center" vertical="center" wrapText="1"/>
      <protection locked="1" hidden="1"/>
    </xf>
    <xf numFmtId="164" fontId="0" fillId="0" borderId="11" applyAlignment="1" applyProtection="1" pivotButton="0" quotePrefix="0" xfId="0">
      <alignment horizontal="center" vertical="center" wrapText="1"/>
      <protection locked="1" hidden="1"/>
    </xf>
    <xf numFmtId="164" fontId="0" fillId="0" borderId="12" applyAlignment="1" applyProtection="1" pivotButton="0" quotePrefix="0" xfId="0">
      <alignment horizontal="center" vertical="center" wrapText="1"/>
      <protection locked="1" hidden="1"/>
    </xf>
    <xf numFmtId="0" fontId="0" fillId="13" borderId="11" applyAlignment="1" applyProtection="1" pivotButton="0" quotePrefix="0" xfId="0">
      <alignment horizontal="center" vertical="center" wrapText="1"/>
      <protection locked="0" hidden="0"/>
    </xf>
    <xf numFmtId="0" fontId="0" fillId="13" borderId="12" applyAlignment="1" applyProtection="1" pivotButton="0" quotePrefix="0" xfId="0">
      <alignment horizontal="center" vertical="center" wrapText="1"/>
      <protection locked="0" hidden="0"/>
    </xf>
    <xf numFmtId="168" fontId="7" fillId="8" borderId="10" applyAlignment="1" applyProtection="1" pivotButton="0" quotePrefix="0" xfId="1">
      <alignment horizontal="center" vertical="center" wrapText="1"/>
      <protection locked="0" hidden="0"/>
    </xf>
    <xf numFmtId="168" fontId="7" fillId="8" borderId="11" applyAlignment="1" applyProtection="1" pivotButton="0" quotePrefix="0" xfId="1">
      <alignment horizontal="center" vertical="center" wrapText="1"/>
      <protection locked="0" hidden="0"/>
    </xf>
    <xf numFmtId="168" fontId="7" fillId="8" borderId="12" applyAlignment="1" applyProtection="1" pivotButton="0" quotePrefix="0" xfId="1">
      <alignment horizontal="center" vertical="center" wrapText="1"/>
      <protection locked="0" hidden="0"/>
    </xf>
    <xf numFmtId="176" fontId="0" fillId="0" borderId="0" applyProtection="1" pivotButton="0" quotePrefix="0" xfId="6">
      <protection locked="0" hidden="0"/>
    </xf>
    <xf numFmtId="0" fontId="0" fillId="0" borderId="9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168" fontId="5" fillId="0" borderId="2" applyAlignment="1" applyProtection="1" pivotButton="0" quotePrefix="0" xfId="0">
      <alignment horizontal="center" vertical="center" wrapText="1"/>
      <protection locked="0" hidden="0"/>
    </xf>
    <xf numFmtId="168" fontId="5" fillId="0" borderId="2" applyAlignment="1" pivotButton="0" quotePrefix="0" xfId="0">
      <alignment horizontal="center" vertical="center" wrapText="1"/>
    </xf>
    <xf numFmtId="168" fontId="3" fillId="4" borderId="2" applyAlignment="1" applyProtection="1" pivotButton="0" quotePrefix="0" xfId="3">
      <alignment vertical="center" wrapText="1"/>
      <protection locked="0" hidden="0"/>
    </xf>
    <xf numFmtId="168" fontId="3" fillId="4" borderId="2" applyAlignment="1" applyProtection="1" pivotButton="0" quotePrefix="0" xfId="3">
      <alignment vertical="center"/>
      <protection locked="0" hidden="0"/>
    </xf>
    <xf numFmtId="168" fontId="0" fillId="0" borderId="2" applyAlignment="1" applyProtection="1" pivotButton="0" quotePrefix="0" xfId="0">
      <alignment horizontal="center" vertical="center" wrapText="1"/>
      <protection locked="0" hidden="0"/>
    </xf>
    <xf numFmtId="168" fontId="5" fillId="0" borderId="2" applyAlignment="1" applyProtection="1" pivotButton="0" quotePrefix="0" xfId="5">
      <alignment horizontal="center" vertical="center" wrapText="1"/>
      <protection locked="0" hidden="0"/>
    </xf>
    <xf numFmtId="168" fontId="5" fillId="0" borderId="2" applyAlignment="1" applyProtection="1" pivotButton="0" quotePrefix="0" xfId="2">
      <alignment horizontal="center" vertical="center" wrapText="1"/>
      <protection locked="0" hidden="0"/>
    </xf>
  </cellXfs>
  <cellStyles count="8">
    <cellStyle name="Normal" xfId="0" builtinId="0"/>
    <cellStyle name="Good" xfId="1" builtinId="26"/>
    <cellStyle name="Neutral" xfId="2" builtinId="28"/>
    <cellStyle name="Check Cell" xfId="3" builtinId="23"/>
    <cellStyle name="Comma" xfId="4" builtinId="3"/>
    <cellStyle name="Bad" xfId="5" builtinId="27"/>
    <cellStyle name="Percent" xfId="6" builtinId="5"/>
    <cellStyle name="Input" xfId="7" builtinId="2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tc={20AE9A52-5FA6-45AF-B793-3E209704D868}</author>
    <author>tc={ADB8F8A0-2CE2-4B1A-99B2-DF350D2DE788}</author>
    <author>tc={1A82E112-05C2-4D0E-B371-261767C748DD}</author>
    <author>tc={AE1E158D-58FD-4372-9120-33E3E7118488}</author>
    <author>tc={D0A2F6BC-D7DD-4397-B4AC-230E9B9FF0D1}</author>
    <author>tc={92239839-2E3F-4DA6-9365-847DDC42F174}</author>
    <author>tc={1377434D-9590-4137-B755-46192E3D5FEC}</author>
    <author>tc={7B8AA6B2-2A37-486C-B657-F682C347C4F2}</author>
    <author>tc={64C7B694-808F-4CF7-A5A0-BEEC9D4ABC23}</author>
  </authors>
  <commentList>
    <comment ref="AG176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 on 01.10.2026</t>
      </text>
    </comment>
    <comment ref="AG177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 on 01.10.2026</t>
      </text>
    </comment>
    <comment ref="T182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 on 01.10.2026. Same as Sl. Nr. 33,34</t>
      </text>
    </comment>
    <comment ref="T185" authorId="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 on 01.10.2026. Same as Sl. Nr. 33,34</t>
      </text>
    </comment>
    <comment ref="T188" authorId="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 on 01.10.2026. Same as Sl. Nr. 33,34</t>
      </text>
    </comment>
    <comment ref="T191" authorId="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 on 01.10.2026. Same as Sl. Nr. 33,34</t>
      </text>
    </comment>
    <comment ref="AD200" authorId="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 on 01.10.2026</t>
      </text>
    </comment>
    <comment ref="AD201" authorId="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 on 01.10.2026</t>
      </text>
    </comment>
    <comment ref="AD202" authorId="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 on 01.10.2026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gif" Id="rId1" /><Relationship Type="http://schemas.openxmlformats.org/officeDocument/2006/relationships/image" Target="/xl/media/image2.gif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55471</colOff>
      <row>0</row>
      <rowOff>22411</rowOff>
    </from>
    <to>
      <col>1</col>
      <colOff>190500</colOff>
      <row>2</row>
      <rowOff>389731</rowOff>
    </to>
    <pic>
      <nvPicPr>
        <cNvPr id="2" name="Grafik 6"/>
        <cNvPicPr/>
      </nvPicPr>
      <blipFill>
        <a:blip r:embed="rId1"/>
        <a:srcRect/>
        <a:stretch>
          <a:fillRect/>
        </a:stretch>
      </blipFill>
      <spPr bwMode="auto">
        <a:xfrm>
          <a:off x="55471" y="22411"/>
          <a:ext cx="563654" cy="75149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55471</colOff>
      <row>0</row>
      <rowOff>22411</rowOff>
    </from>
    <to>
      <col>1</col>
      <colOff>190500</colOff>
      <row>2</row>
      <rowOff>389731</rowOff>
    </to>
    <pic>
      <nvPicPr>
        <cNvPr id="3" name="Grafik 6"/>
        <cNvPicPr/>
      </nvPicPr>
      <blipFill>
        <a:blip r:embed="rId2"/>
        <a:srcRect/>
        <a:stretch>
          <a:fillRect/>
        </a:stretch>
      </blipFill>
      <spPr bwMode="auto">
        <a:xfrm>
          <a:off x="55471" y="22411"/>
          <a:ext cx="563654" cy="75149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theme="9" tint="-0.249977111117893"/>
    <outlinePr summaryBelow="1" summaryRight="1"/>
    <pageSetUpPr/>
  </sheetPr>
  <dimension ref="A1:AK202"/>
  <sheetViews>
    <sheetView zoomScale="90" zoomScaleNormal="90" workbookViewId="0">
      <pane xSplit="6" ySplit="5" topLeftCell="X170" activePane="bottomRight" state="frozen"/>
      <selection activeCell="G27" sqref="G27"/>
      <selection pane="topRight" activeCell="G27" sqref="G27"/>
      <selection pane="bottomLeft" activeCell="G27" sqref="G27"/>
      <selection pane="bottomRight" activeCell="AF186" sqref="AF186"/>
    </sheetView>
  </sheetViews>
  <sheetFormatPr baseColWidth="8" defaultColWidth="11.42578125" defaultRowHeight="15"/>
  <cols>
    <col width="6.42578125" bestFit="1" customWidth="1" style="6" min="1" max="1"/>
    <col width="10.85546875" bestFit="1" customWidth="1" style="6" min="2" max="2"/>
    <col width="11.42578125" customWidth="1" style="6" min="3" max="3"/>
    <col width="11.42578125" customWidth="1" style="6" min="4" max="4"/>
    <col width="63" bestFit="1" customWidth="1" style="6" min="5" max="5"/>
    <col width="6.42578125" bestFit="1" customWidth="1" style="6" min="6" max="6"/>
    <col width="11" customWidth="1" style="6" min="7" max="8"/>
    <col width="14.28515625" customWidth="1" style="6" min="9" max="9"/>
    <col width="11" customWidth="1" style="6" min="10" max="10"/>
    <col width="13.140625" customWidth="1" style="6" min="11" max="11"/>
    <col width="10.28515625" customWidth="1" style="6" min="12" max="12"/>
    <col width="9.5703125" customWidth="1" style="6" min="13" max="13"/>
    <col width="8.42578125" bestFit="1" customWidth="1" style="6" min="14" max="14"/>
    <col width="14.42578125" customWidth="1" style="6" min="15" max="15"/>
    <col width="11.42578125" customWidth="1" style="6" min="16" max="18"/>
    <col width="13.7109375" customWidth="1" style="6" min="19" max="19"/>
    <col width="11.42578125" customWidth="1" style="6" min="20" max="21"/>
    <col width="13.42578125" customWidth="1" style="6" min="22" max="22"/>
    <col width="24.5703125" bestFit="1" customWidth="1" style="6" min="23" max="23"/>
    <col width="11.42578125" customWidth="1" style="6" min="24" max="27"/>
    <col width="11.5703125" customWidth="1" style="6" min="28" max="28"/>
    <col width="11.42578125" customWidth="1" style="6" min="29" max="29"/>
    <col width="9" customWidth="1" style="6" min="30" max="30"/>
    <col width="9.85546875" customWidth="1" style="6" min="31" max="31"/>
    <col width="11.140625" customWidth="1" style="6" min="32" max="32"/>
    <col width="10.140625" customWidth="1" style="6" min="33" max="33"/>
    <col width="15.42578125" customWidth="1" style="6" min="34" max="34"/>
    <col width="15.5703125" customWidth="1" style="6" min="35" max="35"/>
    <col width="11.42578125" customWidth="1" style="6" min="36" max="36"/>
    <col width="26.5703125" bestFit="1" customWidth="1" style="7" min="37" max="37"/>
    <col width="11.42578125" customWidth="1" style="6" min="38" max="16384"/>
  </cols>
  <sheetData>
    <row r="1" ht="15" customHeight="1">
      <c r="A1" s="547" t="inlineStr">
        <is>
          <t>SKE</t>
        </is>
      </c>
      <c r="B1" s="532" t="n"/>
      <c r="C1" s="532" t="n"/>
      <c r="D1" s="533" t="n"/>
      <c r="E1" s="547" t="inlineStr">
        <is>
          <t>Commodity</t>
        </is>
      </c>
      <c r="F1" s="533" t="n"/>
      <c r="G1" s="547" t="inlineStr">
        <is>
          <t>Packaging</t>
        </is>
      </c>
      <c r="H1" s="532" t="n"/>
      <c r="I1" s="532" t="n"/>
      <c r="J1" s="532" t="n"/>
      <c r="K1" s="532" t="n"/>
      <c r="L1" s="533" t="n"/>
      <c r="M1" s="548" t="n">
        <v>911644</v>
      </c>
      <c r="N1" s="533" t="n"/>
      <c r="O1" s="595" t="inlineStr">
        <is>
          <t>checked on 01.09.2026</t>
        </is>
      </c>
      <c r="P1" s="533" t="n"/>
      <c r="Q1" s="596" t="n"/>
      <c r="R1" s="533" t="n"/>
      <c r="S1" s="585" t="inlineStr">
        <is>
          <t>SKE (Now SPMR)</t>
        </is>
      </c>
      <c r="T1" s="532" t="n"/>
      <c r="U1" s="532" t="n"/>
      <c r="V1" s="533" t="n"/>
      <c r="W1" s="547" t="inlineStr">
        <is>
          <t>Wt of Sheet Color Factor</t>
        </is>
      </c>
      <c r="X1" s="379" t="n">
        <v>1.55</v>
      </c>
      <c r="Y1" s="562" t="n">
        <v>1.45</v>
      </c>
      <c r="Z1" s="381" t="n">
        <v>1.3</v>
      </c>
      <c r="AA1" s="538" t="inlineStr">
        <is>
          <t xml:space="preserve"> 1,55 &amp; 1,45 </t>
        </is>
      </c>
      <c r="AB1" s="140" t="n"/>
      <c r="AC1" s="140" t="n"/>
      <c r="AD1" s="140" t="n"/>
      <c r="AE1" s="140" t="n"/>
      <c r="AF1" s="140" t="n"/>
      <c r="AG1" s="140" t="n"/>
      <c r="AH1" s="140" t="n"/>
      <c r="AI1" s="140" t="n"/>
      <c r="AJ1" s="140" t="n"/>
      <c r="AK1" s="140" t="n"/>
    </row>
    <row r="2" ht="15" customHeight="1">
      <c r="A2" s="1023" t="n"/>
      <c r="B2" s="6" t="n"/>
      <c r="C2" s="6" t="n"/>
      <c r="D2" s="534" t="n"/>
      <c r="E2" s="1023" t="n"/>
      <c r="F2" s="534" t="n"/>
      <c r="G2" s="1023" t="n"/>
      <c r="H2" s="6" t="n"/>
      <c r="I2" s="6" t="n"/>
      <c r="J2" s="6" t="n"/>
      <c r="K2" s="6" t="n"/>
      <c r="L2" s="534" t="n"/>
      <c r="M2" s="1023" t="n"/>
      <c r="N2" s="534" t="n"/>
      <c r="O2" s="1023" t="n"/>
      <c r="P2" s="534" t="n"/>
      <c r="Q2" s="1023" t="n"/>
      <c r="R2" s="534" t="n"/>
      <c r="S2" s="1023" t="n"/>
      <c r="T2" s="6" t="n"/>
      <c r="U2" s="6" t="n"/>
      <c r="V2" s="534" t="n"/>
      <c r="W2" s="547" t="inlineStr">
        <is>
          <t>Flute Type</t>
        </is>
      </c>
      <c r="X2" s="547" t="inlineStr">
        <is>
          <t>A</t>
        </is>
      </c>
      <c r="Y2" s="547" t="inlineStr">
        <is>
          <t>B</t>
        </is>
      </c>
      <c r="Z2" s="547" t="inlineStr">
        <is>
          <t>E</t>
        </is>
      </c>
      <c r="AA2" s="547" t="inlineStr">
        <is>
          <t>A+B</t>
        </is>
      </c>
      <c r="AB2" s="140" t="n"/>
      <c r="AC2" s="140" t="n"/>
      <c r="AD2" s="140" t="n"/>
      <c r="AE2" s="140" t="n"/>
      <c r="AF2" s="140" t="n"/>
      <c r="AG2" s="140" t="n"/>
      <c r="AH2" s="140" t="n"/>
      <c r="AI2" s="140" t="n"/>
      <c r="AJ2" s="140" t="n"/>
      <c r="AK2" s="140" t="n"/>
    </row>
    <row r="3" ht="33.75" customHeight="1">
      <c r="A3" s="535" t="n"/>
      <c r="B3" s="536" t="n"/>
      <c r="C3" s="536" t="n"/>
      <c r="D3" s="537" t="n"/>
      <c r="E3" s="535" t="n"/>
      <c r="F3" s="537" t="n"/>
      <c r="G3" s="535" t="n"/>
      <c r="H3" s="536" t="n"/>
      <c r="I3" s="536" t="n"/>
      <c r="J3" s="536" t="n"/>
      <c r="K3" s="536" t="n"/>
      <c r="L3" s="537" t="n"/>
      <c r="M3" s="535" t="n"/>
      <c r="N3" s="537" t="n"/>
      <c r="O3" s="535" t="n"/>
      <c r="P3" s="537" t="n"/>
      <c r="Q3" s="535" t="n"/>
      <c r="R3" s="537" t="n"/>
      <c r="S3" s="535" t="n"/>
      <c r="T3" s="536" t="n"/>
      <c r="U3" s="536" t="n"/>
      <c r="V3" s="537" t="n"/>
      <c r="W3" s="140" t="n"/>
      <c r="X3" s="140" t="n"/>
      <c r="Y3" s="140" t="n"/>
      <c r="Z3" s="140" t="n"/>
      <c r="AA3" s="140" t="n"/>
      <c r="AB3" s="140" t="n"/>
      <c r="AC3" s="140" t="n"/>
      <c r="AD3" s="140" t="n"/>
      <c r="AE3" s="140" t="n"/>
      <c r="AF3" s="140" t="n"/>
      <c r="AG3" s="140" t="n"/>
      <c r="AH3" s="140" t="n"/>
      <c r="AI3" s="140" t="n"/>
      <c r="AJ3" s="140" t="n"/>
      <c r="AK3" s="140" t="n"/>
    </row>
    <row r="4">
      <c r="A4" s="545" t="inlineStr">
        <is>
          <t>Material Description</t>
        </is>
      </c>
      <c r="B4" s="1024" t="n"/>
      <c r="C4" s="1024" t="n"/>
      <c r="D4" s="1024" t="n"/>
      <c r="E4" s="1024" t="n"/>
      <c r="F4" s="1024" t="n"/>
      <c r="G4" s="1024" t="n"/>
      <c r="H4" s="1024" t="n"/>
      <c r="I4" s="1024" t="n"/>
      <c r="J4" s="1024" t="n"/>
      <c r="K4" s="1024" t="n"/>
      <c r="L4" s="1024" t="n"/>
      <c r="M4" s="1024" t="n"/>
      <c r="N4" s="1025" t="n"/>
      <c r="O4" s="546" t="inlineStr">
        <is>
          <t>Material Cost</t>
        </is>
      </c>
      <c r="P4" s="1024" t="n"/>
      <c r="Q4" s="1024" t="n"/>
      <c r="R4" s="1024" t="n"/>
      <c r="S4" s="1024" t="n"/>
      <c r="T4" s="1024" t="n"/>
      <c r="U4" s="1024" t="n"/>
      <c r="V4" s="1024" t="n"/>
      <c r="W4" s="1025" t="n"/>
      <c r="X4" s="561" t="inlineStr">
        <is>
          <t>Process Efficiency</t>
        </is>
      </c>
      <c r="Y4" s="1024" t="n"/>
      <c r="Z4" s="1025" t="n"/>
      <c r="AA4" s="562" t="inlineStr">
        <is>
          <t>Process Cost</t>
        </is>
      </c>
      <c r="AB4" s="1024" t="n"/>
      <c r="AC4" s="1024" t="n"/>
      <c r="AD4" s="1024" t="n"/>
      <c r="AE4" s="1024" t="n"/>
      <c r="AF4" s="1025" t="n"/>
      <c r="AG4" s="546" t="inlineStr">
        <is>
          <t>Transport</t>
        </is>
      </c>
      <c r="AH4" s="563" t="inlineStr">
        <is>
          <t>Other Costs</t>
        </is>
      </c>
      <c r="AI4" s="1025" t="n"/>
      <c r="AJ4" s="541" t="inlineStr">
        <is>
          <t>Total</t>
        </is>
      </c>
      <c r="AK4" s="541" t="n"/>
    </row>
    <row r="5" ht="60.75" customHeight="1">
      <c r="A5" s="706" t="inlineStr">
        <is>
          <t>Sl.No.</t>
        </is>
      </c>
      <c r="B5" s="706" t="inlineStr">
        <is>
          <t>Date</t>
        </is>
      </c>
      <c r="C5" s="547" t="inlineStr">
        <is>
          <t>Supplier Name</t>
        </is>
      </c>
      <c r="D5" s="547" t="inlineStr">
        <is>
          <t>Material Nr.</t>
        </is>
      </c>
      <c r="E5" s="547" t="inlineStr">
        <is>
          <t>Part Type</t>
        </is>
      </c>
      <c r="F5" s="547" t="inlineStr">
        <is>
          <t>Flute Type</t>
        </is>
      </c>
      <c r="G5" s="547" t="inlineStr">
        <is>
          <t>Comments(if any)</t>
        </is>
      </c>
      <c r="H5" s="547" t="inlineStr">
        <is>
          <t>Ply Type</t>
        </is>
      </c>
      <c r="I5" s="547" t="inlineStr">
        <is>
          <t>Box Type</t>
        </is>
      </c>
      <c r="J5" s="547" t="inlineStr">
        <is>
          <t>Size Type</t>
        </is>
      </c>
      <c r="K5" s="547" t="inlineStr">
        <is>
          <t>Design Type</t>
        </is>
      </c>
      <c r="L5" s="547" t="inlineStr">
        <is>
          <t>Material Dimension (In mm)</t>
        </is>
      </c>
      <c r="M5" s="1024" t="n"/>
      <c r="N5" s="1025" t="n"/>
      <c r="O5" s="547" t="inlineStr">
        <is>
          <t>Paper Specification</t>
        </is>
      </c>
      <c r="P5" s="547" t="inlineStr">
        <is>
          <t>GSM</t>
        </is>
      </c>
      <c r="Q5" s="547" t="inlineStr">
        <is>
          <t>Raw Material Price at Paper Mill (INR/kg)-A</t>
        </is>
      </c>
      <c r="R5" s="547" t="inlineStr">
        <is>
          <t>Landing Cost (Freight, Handling &amp; Other Costs) (INR/kg)-B</t>
        </is>
      </c>
      <c r="S5" s="547" t="inlineStr">
        <is>
          <t>GSM Price Considered (INR/kg)- A+B</t>
        </is>
      </c>
      <c r="T5" s="547" t="inlineStr">
        <is>
          <t>Sheet Size Used         (In Inch)</t>
        </is>
      </c>
      <c r="U5" s="1025" t="n"/>
      <c r="V5" s="547" t="inlineStr">
        <is>
          <t>Wt. of Sheet (kg)</t>
        </is>
      </c>
      <c r="W5" s="547" t="inlineStr">
        <is>
          <t xml:space="preserve"> Material Cost (INR)-C</t>
        </is>
      </c>
      <c r="X5" s="15" t="inlineStr">
        <is>
          <t>Wastage (3%)</t>
        </is>
      </c>
      <c r="Y5" s="547" t="inlineStr">
        <is>
          <t>Cost of Wastage (INR)-D</t>
        </is>
      </c>
      <c r="Z5" s="562" t="inlineStr">
        <is>
          <t>Total Material Cost-C+D</t>
        </is>
      </c>
      <c r="AA5" s="547" t="inlineStr">
        <is>
          <t>Conversion Charge (INR/kg)</t>
        </is>
      </c>
      <c r="AB5" s="547" t="inlineStr">
        <is>
          <t xml:space="preserve">Conversion Cost (INR) </t>
        </is>
      </c>
      <c r="AC5" s="547" t="inlineStr">
        <is>
          <t>Printing &amp; Die Cutting (INR)</t>
        </is>
      </c>
      <c r="AD5" s="547" t="inlineStr">
        <is>
          <t>Varnish (INR)</t>
        </is>
      </c>
      <c r="AE5" s="547" t="inlineStr">
        <is>
          <t xml:space="preserve"> Packing Cost(INR)</t>
        </is>
      </c>
      <c r="AF5" s="562" t="inlineStr">
        <is>
          <t>Total Process Cost (INR)</t>
        </is>
      </c>
      <c r="AG5" s="547" t="inlineStr">
        <is>
          <t xml:space="preserve"> Freight Charges to EGLO (INR)</t>
        </is>
      </c>
      <c r="AH5" s="547" t="inlineStr">
        <is>
          <t xml:space="preserve">Profit (10 %) </t>
        </is>
      </c>
      <c r="AI5" s="547" t="inlineStr">
        <is>
          <t>Step Discounts based on Orders (%)</t>
        </is>
      </c>
      <c r="AJ5" s="706" t="inlineStr">
        <is>
          <t>Price Quoted</t>
        </is>
      </c>
      <c r="AK5" s="437" t="inlineStr">
        <is>
          <t>Final Cost for Reference Only
Check 01.09.2026</t>
        </is>
      </c>
    </row>
    <row r="6" ht="15" customHeight="1">
      <c r="A6" s="706" t="n">
        <v>1</v>
      </c>
      <c r="B6" s="299" t="n">
        <v>46266</v>
      </c>
      <c r="C6" s="706" t="inlineStr">
        <is>
          <t>SKE</t>
        </is>
      </c>
      <c r="D6" s="706" t="n"/>
      <c r="E6" s="1026" t="inlineStr">
        <is>
          <t>Master Box Universal - 3 Ply &lt; 300 mm 560 GSM</t>
        </is>
      </c>
      <c r="F6" s="706" t="inlineStr">
        <is>
          <t>B</t>
        </is>
      </c>
      <c r="G6" s="706" t="n">
        <v>0</v>
      </c>
      <c r="H6" s="706" t="inlineStr">
        <is>
          <t>3 Ply</t>
        </is>
      </c>
      <c r="I6" s="706" t="inlineStr">
        <is>
          <t>KM</t>
        </is>
      </c>
      <c r="J6" s="706" t="inlineStr">
        <is>
          <t>&lt; 300 mm</t>
        </is>
      </c>
      <c r="K6" s="706" t="inlineStr">
        <is>
          <t>U</t>
        </is>
      </c>
      <c r="L6" s="300" t="n">
        <v>100</v>
      </c>
      <c r="M6" s="300" t="n">
        <v>100</v>
      </c>
      <c r="N6" s="301" t="n">
        <v>100</v>
      </c>
      <c r="O6" s="16" t="inlineStr">
        <is>
          <t>Virgin Kraft</t>
        </is>
      </c>
      <c r="P6" s="17" t="n">
        <v>230</v>
      </c>
      <c r="Q6" s="17" t="n"/>
      <c r="R6" s="17" t="n"/>
      <c r="S6" s="455" t="n">
        <v>43</v>
      </c>
      <c r="T6" s="150">
        <f>(M6+N6+10)/25.4</f>
        <v/>
      </c>
      <c r="U6" s="150">
        <f>((L6+M6)*2+55)/25.4</f>
        <v/>
      </c>
      <c r="V6" s="903">
        <f>((T7*U7*P6)/1550)/1000</f>
        <v/>
      </c>
      <c r="W6" s="903">
        <f>V6*S6</f>
        <v/>
      </c>
      <c r="X6" s="903">
        <f>(V6*3%)</f>
        <v/>
      </c>
      <c r="Y6" s="903">
        <f>X6*S6</f>
        <v/>
      </c>
      <c r="Z6" s="903">
        <f>W6+Y6</f>
        <v/>
      </c>
      <c r="AA6" s="903" t="n">
        <v>6.85</v>
      </c>
      <c r="AB6" s="903">
        <f>(V6+X6)*AA6</f>
        <v/>
      </c>
      <c r="AC6" s="650">
        <f>1/3</f>
        <v/>
      </c>
      <c r="AD6" s="650" t="n">
        <v>0</v>
      </c>
      <c r="AE6" s="650" t="n">
        <v>0</v>
      </c>
      <c r="AF6" s="650">
        <f>AB6+AC6+AD6+AE6</f>
        <v/>
      </c>
      <c r="AG6" s="650">
        <f>0.1/3</f>
        <v/>
      </c>
      <c r="AH6" s="650">
        <f>(Z6+AF6+AG6)*10%</f>
        <v/>
      </c>
      <c r="AI6" s="650" t="n">
        <v>0</v>
      </c>
      <c r="AJ6" s="864">
        <f>Z6+AF6+AG6+AH6-AI6</f>
        <v/>
      </c>
      <c r="AK6" s="505">
        <f>AJ6+AJ7+AJ8</f>
        <v/>
      </c>
    </row>
    <row r="7">
      <c r="A7" s="706" t="n">
        <v>1</v>
      </c>
      <c r="B7" s="299" t="n">
        <v>46266</v>
      </c>
      <c r="C7" s="706" t="inlineStr">
        <is>
          <t>SKE</t>
        </is>
      </c>
      <c r="D7" s="706" t="n"/>
      <c r="E7" s="1026" t="inlineStr">
        <is>
          <t>Master Box Universal - 3 Ply &lt; 300 mm 560 GSM</t>
        </is>
      </c>
      <c r="F7" s="706" t="inlineStr">
        <is>
          <t>B</t>
        </is>
      </c>
      <c r="G7" s="706" t="n">
        <v>0</v>
      </c>
      <c r="H7" s="706" t="inlineStr">
        <is>
          <t>3 Ply</t>
        </is>
      </c>
      <c r="I7" s="706" t="inlineStr">
        <is>
          <t>KM</t>
        </is>
      </c>
      <c r="J7" s="706" t="inlineStr">
        <is>
          <t>&lt; 300 mm</t>
        </is>
      </c>
      <c r="K7" s="706" t="inlineStr">
        <is>
          <t>U</t>
        </is>
      </c>
      <c r="L7" s="300" t="n"/>
      <c r="M7" s="300" t="n"/>
      <c r="N7" s="301" t="n"/>
      <c r="O7" s="16" t="inlineStr">
        <is>
          <t>Semi Kraft</t>
        </is>
      </c>
      <c r="P7" s="17" t="n">
        <v>150</v>
      </c>
      <c r="Q7" s="17" t="n"/>
      <c r="R7" s="17" t="n"/>
      <c r="S7" s="455" t="n">
        <v>41</v>
      </c>
      <c r="T7" s="61">
        <f>ROUNDUP($T6,0)+0.2</f>
        <v/>
      </c>
      <c r="U7" s="61">
        <f>ROUNDUP($U6,0)+0.3</f>
        <v/>
      </c>
      <c r="V7" s="903">
        <f>((T7*U7*P7*1.45)/1550)/1000</f>
        <v/>
      </c>
      <c r="W7" s="903">
        <f>V7*S7</f>
        <v/>
      </c>
      <c r="X7" s="903">
        <f>(V7*3%)</f>
        <v/>
      </c>
      <c r="Y7" s="903">
        <f>X7*S7</f>
        <v/>
      </c>
      <c r="Z7" s="903">
        <f>W7+Y7</f>
        <v/>
      </c>
      <c r="AA7" s="903" t="n">
        <v>6.85</v>
      </c>
      <c r="AB7" s="903">
        <f>(V7+X7)*AA7</f>
        <v/>
      </c>
      <c r="AC7" s="650">
        <f>1/3</f>
        <v/>
      </c>
      <c r="AD7" s="650" t="n">
        <v>0</v>
      </c>
      <c r="AE7" s="650" t="n">
        <v>0</v>
      </c>
      <c r="AF7" s="650">
        <f>AB7+AC7+AD7+AE7</f>
        <v/>
      </c>
      <c r="AG7" s="650">
        <f>0.1/3</f>
        <v/>
      </c>
      <c r="AH7" s="650">
        <f>(Z7+AF7+AG7)*10%</f>
        <v/>
      </c>
      <c r="AI7" s="650" t="n">
        <v>0</v>
      </c>
      <c r="AJ7" s="864">
        <f>Z7+AF7+AG7+AH7-AI7</f>
        <v/>
      </c>
      <c r="AK7" s="505" t="inlineStr">
        <is>
          <t>ok</t>
        </is>
      </c>
    </row>
    <row r="8">
      <c r="A8" s="706" t="n">
        <v>1</v>
      </c>
      <c r="B8" s="299" t="n">
        <v>46266</v>
      </c>
      <c r="C8" s="706" t="inlineStr">
        <is>
          <t>SKE</t>
        </is>
      </c>
      <c r="D8" s="706" t="n"/>
      <c r="E8" s="1026" t="inlineStr">
        <is>
          <t>Master Box Universal - 3 Ply &lt; 300 mm 560 GSM</t>
        </is>
      </c>
      <c r="F8" s="706" t="inlineStr">
        <is>
          <t>B</t>
        </is>
      </c>
      <c r="G8" s="706" t="n">
        <v>0</v>
      </c>
      <c r="H8" s="706" t="inlineStr">
        <is>
          <t>3 Ply</t>
        </is>
      </c>
      <c r="I8" s="706" t="inlineStr">
        <is>
          <t>KM</t>
        </is>
      </c>
      <c r="J8" s="706" t="inlineStr">
        <is>
          <t>&lt; 300 mm</t>
        </is>
      </c>
      <c r="K8" s="706" t="inlineStr">
        <is>
          <t>U</t>
        </is>
      </c>
      <c r="L8" s="300" t="n"/>
      <c r="M8" s="300" t="n"/>
      <c r="N8" s="301" t="n"/>
      <c r="O8" s="16" t="inlineStr">
        <is>
          <t>Virgin Kraft</t>
        </is>
      </c>
      <c r="P8" s="17" t="n">
        <v>180</v>
      </c>
      <c r="Q8" s="17" t="n"/>
      <c r="R8" s="17" t="n"/>
      <c r="S8" s="455" t="n">
        <v>43</v>
      </c>
      <c r="T8" s="61">
        <f>T7</f>
        <v/>
      </c>
      <c r="U8" s="61">
        <f>U7</f>
        <v/>
      </c>
      <c r="V8" s="903">
        <f>((T8*U8*P8)/1550)/1000</f>
        <v/>
      </c>
      <c r="W8" s="903">
        <f>V8*S8</f>
        <v/>
      </c>
      <c r="X8" s="903">
        <f>(V8*3%)</f>
        <v/>
      </c>
      <c r="Y8" s="903">
        <f>X8*S8</f>
        <v/>
      </c>
      <c r="Z8" s="903">
        <f>W8+Y8</f>
        <v/>
      </c>
      <c r="AA8" s="903" t="n">
        <v>6.85</v>
      </c>
      <c r="AB8" s="903">
        <f>(V8+X8)*AA8</f>
        <v/>
      </c>
      <c r="AC8" s="650">
        <f>1/3</f>
        <v/>
      </c>
      <c r="AD8" s="650" t="n">
        <v>0</v>
      </c>
      <c r="AE8" s="650" t="n">
        <v>0</v>
      </c>
      <c r="AF8" s="650">
        <f>AB8+AC8+AD8+AE8</f>
        <v/>
      </c>
      <c r="AG8" s="650">
        <f>0.1/3</f>
        <v/>
      </c>
      <c r="AH8" s="650">
        <f>(Z8+AF8+AG8)*10%</f>
        <v/>
      </c>
      <c r="AI8" s="650" t="n">
        <v>0</v>
      </c>
      <c r="AJ8" s="864">
        <f>Z8+AF8+AG8+AH8-AI8</f>
        <v/>
      </c>
      <c r="AK8" s="505" t="n"/>
    </row>
    <row r="9" ht="15" customHeight="1">
      <c r="A9" s="706" t="n">
        <v>2</v>
      </c>
      <c r="B9" s="299" t="n">
        <v>46266</v>
      </c>
      <c r="C9" s="706" t="inlineStr">
        <is>
          <t>SKE</t>
        </is>
      </c>
      <c r="D9" s="706" t="n"/>
      <c r="E9" s="1027" t="inlineStr">
        <is>
          <t>HSC Master Box Universal - 3 Ply &lt; 300 mm 640 GSM</t>
        </is>
      </c>
      <c r="F9" s="706" t="inlineStr">
        <is>
          <t>B</t>
        </is>
      </c>
      <c r="G9" s="706" t="n">
        <v>0</v>
      </c>
      <c r="H9" s="706" t="inlineStr">
        <is>
          <t>3 Ply</t>
        </is>
      </c>
      <c r="I9" s="706" t="inlineStr">
        <is>
          <t>KM &amp; HSC</t>
        </is>
      </c>
      <c r="J9" s="706" t="inlineStr">
        <is>
          <t>&lt; 300 mm</t>
        </is>
      </c>
      <c r="K9" s="706" t="inlineStr">
        <is>
          <t>U</t>
        </is>
      </c>
      <c r="L9" s="300" t="n">
        <v>100</v>
      </c>
      <c r="M9" s="300" t="n">
        <v>100</v>
      </c>
      <c r="N9" s="301" t="n">
        <v>100</v>
      </c>
      <c r="O9" s="16" t="inlineStr">
        <is>
          <t>Virgin Kraft</t>
        </is>
      </c>
      <c r="P9" s="17" t="n">
        <v>230</v>
      </c>
      <c r="Q9" s="17" t="n"/>
      <c r="R9" s="17" t="n"/>
      <c r="S9" s="455" t="n">
        <v>43</v>
      </c>
      <c r="T9" s="150">
        <f>((M9/2)+(N9+10))/25.4</f>
        <v/>
      </c>
      <c r="U9" s="150">
        <f>((L9+M9)*2+55)/25.4</f>
        <v/>
      </c>
      <c r="V9" s="903">
        <f>((T10*U10*P9)/1550)/1000</f>
        <v/>
      </c>
      <c r="W9" s="903">
        <f>V9*S9</f>
        <v/>
      </c>
      <c r="X9" s="903">
        <f>(V9*3%)</f>
        <v/>
      </c>
      <c r="Y9" s="903">
        <f>X9*S9</f>
        <v/>
      </c>
      <c r="Z9" s="903">
        <f>W9+Y9</f>
        <v/>
      </c>
      <c r="AA9" s="903" t="n">
        <v>6.85</v>
      </c>
      <c r="AB9" s="903">
        <f>(V9+X9)*AA9</f>
        <v/>
      </c>
      <c r="AC9" s="650">
        <f>1/3</f>
        <v/>
      </c>
      <c r="AD9" s="650" t="n">
        <v>0</v>
      </c>
      <c r="AE9" s="650" t="n">
        <v>0</v>
      </c>
      <c r="AF9" s="650">
        <f>AB9+AC9+AD9+AE9</f>
        <v/>
      </c>
      <c r="AG9" s="650">
        <f>0.1/3</f>
        <v/>
      </c>
      <c r="AH9" s="650">
        <f>(Z9+AF9+AG9)*10%</f>
        <v/>
      </c>
      <c r="AI9" s="650" t="n">
        <v>0</v>
      </c>
      <c r="AJ9" s="864">
        <f>Z9+AF9+AG9+AH9-AI9</f>
        <v/>
      </c>
      <c r="AK9" s="505">
        <f>AJ9+AJ10+AJ11</f>
        <v/>
      </c>
    </row>
    <row r="10">
      <c r="A10" s="706" t="n">
        <v>2</v>
      </c>
      <c r="B10" s="299" t="n">
        <v>46266</v>
      </c>
      <c r="C10" s="706" t="inlineStr">
        <is>
          <t>SKE</t>
        </is>
      </c>
      <c r="D10" s="706" t="n"/>
      <c r="E10" s="1027" t="inlineStr">
        <is>
          <t>HSC Master Box Universal - 3 Ply &lt; 300 mm 640 GSM</t>
        </is>
      </c>
      <c r="F10" s="706" t="inlineStr">
        <is>
          <t>B</t>
        </is>
      </c>
      <c r="G10" s="706" t="n">
        <v>0</v>
      </c>
      <c r="H10" s="706" t="inlineStr">
        <is>
          <t>3 Ply</t>
        </is>
      </c>
      <c r="I10" s="706" t="inlineStr">
        <is>
          <t>KM &amp; HSC</t>
        </is>
      </c>
      <c r="J10" s="706" t="inlineStr">
        <is>
          <t>&lt; 300 mm</t>
        </is>
      </c>
      <c r="K10" s="706" t="inlineStr">
        <is>
          <t>U</t>
        </is>
      </c>
      <c r="L10" s="300" t="n"/>
      <c r="M10" s="300" t="n"/>
      <c r="N10" s="301" t="n"/>
      <c r="O10" s="16" t="inlineStr">
        <is>
          <t>Semi Kraft</t>
        </is>
      </c>
      <c r="P10" s="17" t="n">
        <v>180</v>
      </c>
      <c r="Q10" s="17" t="n"/>
      <c r="R10" s="17" t="n"/>
      <c r="S10" s="455" t="n">
        <v>41</v>
      </c>
      <c r="T10" s="61">
        <f>ROUNDUP($T9,0)+0.2</f>
        <v/>
      </c>
      <c r="U10" s="61">
        <f>ROUNDUP($U9,0)+0.3</f>
        <v/>
      </c>
      <c r="V10" s="903">
        <f>((T10*U10*P10*1.45)/1550)/1000</f>
        <v/>
      </c>
      <c r="W10" s="903">
        <f>V10*S10</f>
        <v/>
      </c>
      <c r="X10" s="903">
        <f>(V10*3%)</f>
        <v/>
      </c>
      <c r="Y10" s="903">
        <f>X10*S10</f>
        <v/>
      </c>
      <c r="Z10" s="903">
        <f>W10+Y10</f>
        <v/>
      </c>
      <c r="AA10" s="903" t="n">
        <v>6.85</v>
      </c>
      <c r="AB10" s="903">
        <f>(V10+X10)*AA10</f>
        <v/>
      </c>
      <c r="AC10" s="650">
        <f>1/3</f>
        <v/>
      </c>
      <c r="AD10" s="650" t="n">
        <v>0</v>
      </c>
      <c r="AE10" s="650" t="n">
        <v>0</v>
      </c>
      <c r="AF10" s="650">
        <f>AB10+AC10+AD10+AE10</f>
        <v/>
      </c>
      <c r="AG10" s="650">
        <f>0.1/3</f>
        <v/>
      </c>
      <c r="AH10" s="650">
        <f>(Z10+AF10+AG10)*10%</f>
        <v/>
      </c>
      <c r="AI10" s="650" t="n">
        <v>0</v>
      </c>
      <c r="AJ10" s="864">
        <f>Z10+AF10+AG10+AH10-AI10</f>
        <v/>
      </c>
      <c r="AK10" s="505" t="inlineStr">
        <is>
          <t>ok</t>
        </is>
      </c>
    </row>
    <row r="11">
      <c r="A11" s="706" t="n">
        <v>2</v>
      </c>
      <c r="B11" s="299" t="n">
        <v>46266</v>
      </c>
      <c r="C11" s="706" t="inlineStr">
        <is>
          <t>SKE</t>
        </is>
      </c>
      <c r="D11" s="706" t="n"/>
      <c r="E11" s="1027" t="inlineStr">
        <is>
          <t>HSC Master Box Universal - 3 Ply &lt; 300 mm 640 GSM</t>
        </is>
      </c>
      <c r="F11" s="706" t="inlineStr">
        <is>
          <t>B</t>
        </is>
      </c>
      <c r="G11" s="706" t="n">
        <v>0</v>
      </c>
      <c r="H11" s="706" t="inlineStr">
        <is>
          <t>3 Ply</t>
        </is>
      </c>
      <c r="I11" s="706" t="inlineStr">
        <is>
          <t>KM &amp; HSC</t>
        </is>
      </c>
      <c r="J11" s="706" t="inlineStr">
        <is>
          <t>&lt; 300 mm</t>
        </is>
      </c>
      <c r="K11" s="706" t="inlineStr">
        <is>
          <t>U</t>
        </is>
      </c>
      <c r="L11" s="300" t="n"/>
      <c r="M11" s="300" t="n"/>
      <c r="N11" s="301" t="n"/>
      <c r="O11" s="16" t="inlineStr">
        <is>
          <t>Virgin Kraft</t>
        </is>
      </c>
      <c r="P11" s="17" t="n">
        <v>230</v>
      </c>
      <c r="Q11" s="17" t="n"/>
      <c r="R11" s="17" t="n"/>
      <c r="S11" s="455" t="n">
        <v>43</v>
      </c>
      <c r="T11" s="61">
        <f>T10</f>
        <v/>
      </c>
      <c r="U11" s="61">
        <f>U10</f>
        <v/>
      </c>
      <c r="V11" s="903">
        <f>((T11*U11*P11)/1550)/1000</f>
        <v/>
      </c>
      <c r="W11" s="903">
        <f>V11*S11</f>
        <v/>
      </c>
      <c r="X11" s="903">
        <f>(V11*3%)</f>
        <v/>
      </c>
      <c r="Y11" s="903">
        <f>X11*S11</f>
        <v/>
      </c>
      <c r="Z11" s="903">
        <f>W11+Y11</f>
        <v/>
      </c>
      <c r="AA11" s="903" t="n">
        <v>6.85</v>
      </c>
      <c r="AB11" s="903">
        <f>(V11+X11)*AA11</f>
        <v/>
      </c>
      <c r="AC11" s="650">
        <f>1/3</f>
        <v/>
      </c>
      <c r="AD11" s="650" t="n">
        <v>0</v>
      </c>
      <c r="AE11" s="650" t="n">
        <v>0</v>
      </c>
      <c r="AF11" s="650">
        <f>AB11+AC11+AD11+AE11</f>
        <v/>
      </c>
      <c r="AG11" s="650">
        <f>0.1/3</f>
        <v/>
      </c>
      <c r="AH11" s="650">
        <f>(Z11+AF11+AG11)*10%</f>
        <v/>
      </c>
      <c r="AI11" s="650" t="n">
        <v>0</v>
      </c>
      <c r="AJ11" s="864">
        <f>Z11+AF11+AG11+AH11-AI11</f>
        <v/>
      </c>
      <c r="AK11" s="505" t="n"/>
    </row>
    <row r="12" ht="15" customHeight="1">
      <c r="A12" s="706" t="n">
        <v>3</v>
      </c>
      <c r="B12" s="299" t="n">
        <v>46266</v>
      </c>
      <c r="C12" s="706" t="inlineStr">
        <is>
          <t>SKE</t>
        </is>
      </c>
      <c r="D12" s="706" t="n"/>
      <c r="E12" s="1027" t="inlineStr">
        <is>
          <t>HSC Master Box Universal - 5 Ply &lt; 300 mm 1050 GSM</t>
        </is>
      </c>
      <c r="F12" s="706" t="inlineStr">
        <is>
          <t>B</t>
        </is>
      </c>
      <c r="G12" s="706" t="n">
        <v>0</v>
      </c>
      <c r="H12" s="706" t="inlineStr">
        <is>
          <t>5 Ply</t>
        </is>
      </c>
      <c r="I12" s="706" t="inlineStr">
        <is>
          <t>KM &amp; HSC</t>
        </is>
      </c>
      <c r="J12" s="706" t="inlineStr">
        <is>
          <t>&lt; 300 mm</t>
        </is>
      </c>
      <c r="K12" s="706" t="inlineStr">
        <is>
          <t>U</t>
        </is>
      </c>
      <c r="L12" s="300" t="n">
        <v>100</v>
      </c>
      <c r="M12" s="300" t="n">
        <v>100</v>
      </c>
      <c r="N12" s="301" t="n">
        <v>100</v>
      </c>
      <c r="O12" s="16" t="inlineStr">
        <is>
          <t>Virgin Kraft</t>
        </is>
      </c>
      <c r="P12" s="17" t="n">
        <v>230</v>
      </c>
      <c r="Q12" s="17" t="n"/>
      <c r="R12" s="17" t="n"/>
      <c r="S12" s="455" t="n">
        <v>43</v>
      </c>
      <c r="T12" s="150">
        <f>((M12/2)+(N12+10))/25.4</f>
        <v/>
      </c>
      <c r="U12" s="150">
        <f>((L12+M12)*2+55)/25.4</f>
        <v/>
      </c>
      <c r="V12" s="903">
        <f>((T13*U13*P12)/1550)/1000</f>
        <v/>
      </c>
      <c r="W12" s="903">
        <f>V12*S12</f>
        <v/>
      </c>
      <c r="X12" s="903">
        <f>(V12*3%)</f>
        <v/>
      </c>
      <c r="Y12" s="903">
        <f>X12*S12</f>
        <v/>
      </c>
      <c r="Z12" s="903">
        <f>W12+Y12</f>
        <v/>
      </c>
      <c r="AA12" s="903" t="n">
        <v>6.85</v>
      </c>
      <c r="AB12" s="903">
        <f>(V12+X12)*AA12</f>
        <v/>
      </c>
      <c r="AC12" s="650">
        <f>1/3</f>
        <v/>
      </c>
      <c r="AD12" s="650" t="n">
        <v>0</v>
      </c>
      <c r="AE12" s="650" t="n">
        <v>0</v>
      </c>
      <c r="AF12" s="650">
        <f>AB12+AC12+AD12+AE12</f>
        <v/>
      </c>
      <c r="AG12" s="650">
        <f>0.1/3</f>
        <v/>
      </c>
      <c r="AH12" s="650">
        <f>(Z12+AF12+AG12)*10%</f>
        <v/>
      </c>
      <c r="AI12" s="650" t="n">
        <v>0</v>
      </c>
      <c r="AJ12" s="864">
        <f>Z12+AF12+AG12+AH12-AI12</f>
        <v/>
      </c>
      <c r="AK12" s="505">
        <f>AJ12+AJ13+AJ14</f>
        <v/>
      </c>
    </row>
    <row r="13">
      <c r="A13" s="706" t="n">
        <v>3</v>
      </c>
      <c r="B13" s="299" t="n">
        <v>46266</v>
      </c>
      <c r="C13" s="706" t="inlineStr">
        <is>
          <t>SKE</t>
        </is>
      </c>
      <c r="D13" s="706" t="n"/>
      <c r="E13" s="1027" t="inlineStr">
        <is>
          <t>HSC Master Box Universal - 5 Ply &lt; 300 mm 1050 GSM</t>
        </is>
      </c>
      <c r="F13" s="706" t="inlineStr">
        <is>
          <t>B</t>
        </is>
      </c>
      <c r="G13" s="706" t="n">
        <v>0</v>
      </c>
      <c r="H13" s="706" t="inlineStr">
        <is>
          <t>5 Ply</t>
        </is>
      </c>
      <c r="I13" s="706" t="inlineStr">
        <is>
          <t>KM &amp; HSC</t>
        </is>
      </c>
      <c r="J13" s="706" t="inlineStr">
        <is>
          <t>&lt; 300 mm</t>
        </is>
      </c>
      <c r="K13" s="706" t="inlineStr">
        <is>
          <t>U</t>
        </is>
      </c>
      <c r="L13" s="300" t="n"/>
      <c r="M13" s="300" t="n"/>
      <c r="N13" s="301" t="n"/>
      <c r="O13" s="16" t="inlineStr">
        <is>
          <t>Semi Kraft</t>
        </is>
      </c>
      <c r="P13" s="17" t="n">
        <v>180</v>
      </c>
      <c r="Q13" s="17" t="n"/>
      <c r="R13" s="17" t="n"/>
      <c r="S13" s="455" t="n">
        <v>41</v>
      </c>
      <c r="T13" s="61">
        <f>ROUNDUP($T12,0)+0.2</f>
        <v/>
      </c>
      <c r="U13" s="61">
        <f>ROUNDUP($U12,0)+0.3</f>
        <v/>
      </c>
      <c r="V13" s="903">
        <f>((T13*U13*P13*1.45)*2/1550)/1000</f>
        <v/>
      </c>
      <c r="W13" s="903">
        <f>V13*S13</f>
        <v/>
      </c>
      <c r="X13" s="903">
        <f>(V13*3%)</f>
        <v/>
      </c>
      <c r="Y13" s="903">
        <f>X13*S13</f>
        <v/>
      </c>
      <c r="Z13" s="903">
        <f>W13+Y13</f>
        <v/>
      </c>
      <c r="AA13" s="903" t="n">
        <v>6.85</v>
      </c>
      <c r="AB13" s="903">
        <f>(V13+X13)*AA13</f>
        <v/>
      </c>
      <c r="AC13" s="650">
        <f>1/3</f>
        <v/>
      </c>
      <c r="AD13" s="650" t="n">
        <v>0</v>
      </c>
      <c r="AE13" s="650" t="n">
        <v>0</v>
      </c>
      <c r="AF13" s="650">
        <f>AB13+AC13+AD13+AE13</f>
        <v/>
      </c>
      <c r="AG13" s="650">
        <f>0.1/3</f>
        <v/>
      </c>
      <c r="AH13" s="650">
        <f>(Z13+AF13+AG13)*10%</f>
        <v/>
      </c>
      <c r="AI13" s="650" t="n">
        <v>0</v>
      </c>
      <c r="AJ13" s="864">
        <f>Z13+AF13+AG13+AH13-AI13</f>
        <v/>
      </c>
      <c r="AK13" s="505" t="inlineStr">
        <is>
          <t>ok</t>
        </is>
      </c>
    </row>
    <row r="14">
      <c r="A14" s="706" t="n">
        <v>3</v>
      </c>
      <c r="B14" s="299" t="n">
        <v>46266</v>
      </c>
      <c r="C14" s="706" t="inlineStr">
        <is>
          <t>SKE</t>
        </is>
      </c>
      <c r="D14" s="706" t="n"/>
      <c r="E14" s="1027" t="inlineStr">
        <is>
          <t>HSC Master Box Universal - 5 Ply &lt; 300 mm 1050 GSM</t>
        </is>
      </c>
      <c r="F14" s="706" t="inlineStr">
        <is>
          <t>B</t>
        </is>
      </c>
      <c r="G14" s="706" t="n">
        <v>0</v>
      </c>
      <c r="H14" s="706" t="inlineStr">
        <is>
          <t>5 Ply</t>
        </is>
      </c>
      <c r="I14" s="706" t="inlineStr">
        <is>
          <t>KM &amp; HSC</t>
        </is>
      </c>
      <c r="J14" s="706" t="inlineStr">
        <is>
          <t>&lt; 300 mm</t>
        </is>
      </c>
      <c r="K14" s="706" t="inlineStr">
        <is>
          <t>U</t>
        </is>
      </c>
      <c r="L14" s="300" t="n"/>
      <c r="M14" s="300" t="n"/>
      <c r="N14" s="301" t="n"/>
      <c r="O14" s="16" t="inlineStr">
        <is>
          <t>Virgin Kraft</t>
        </is>
      </c>
      <c r="P14" s="17" t="n">
        <v>230</v>
      </c>
      <c r="Q14" s="17" t="n"/>
      <c r="R14" s="17" t="n"/>
      <c r="S14" s="455" t="n">
        <v>43</v>
      </c>
      <c r="T14" s="61">
        <f>T13</f>
        <v/>
      </c>
      <c r="U14" s="61">
        <f>U13</f>
        <v/>
      </c>
      <c r="V14" s="903">
        <f>((T14*U14*P14)*2/1550)/1000</f>
        <v/>
      </c>
      <c r="W14" s="903">
        <f>V14*S14</f>
        <v/>
      </c>
      <c r="X14" s="903">
        <f>(V14*3%)</f>
        <v/>
      </c>
      <c r="Y14" s="903">
        <f>X14*S14</f>
        <v/>
      </c>
      <c r="Z14" s="903">
        <f>W14+Y14</f>
        <v/>
      </c>
      <c r="AA14" s="903" t="n">
        <v>6.85</v>
      </c>
      <c r="AB14" s="903">
        <f>(V14+X14)*AA14</f>
        <v/>
      </c>
      <c r="AC14" s="650">
        <f>1/3</f>
        <v/>
      </c>
      <c r="AD14" s="650" t="n">
        <v>0</v>
      </c>
      <c r="AE14" s="650" t="n">
        <v>0</v>
      </c>
      <c r="AF14" s="650">
        <f>AB14+AC14+AD14+AE14</f>
        <v/>
      </c>
      <c r="AG14" s="650">
        <f>0.1/3</f>
        <v/>
      </c>
      <c r="AH14" s="650">
        <f>(Z14+AF14+AG14)*10%</f>
        <v/>
      </c>
      <c r="AI14" s="650" t="n">
        <v>0</v>
      </c>
      <c r="AJ14" s="864">
        <f>Z14+AF14+AG14+AH14-AI14</f>
        <v/>
      </c>
      <c r="AK14" s="505" t="n"/>
    </row>
    <row r="15" ht="15" customHeight="1">
      <c r="A15" s="706" t="n">
        <v>4</v>
      </c>
      <c r="B15" s="299" t="n">
        <v>46266</v>
      </c>
      <c r="C15" s="706" t="inlineStr">
        <is>
          <t>SKE</t>
        </is>
      </c>
      <c r="D15" s="706" t="n"/>
      <c r="E15" s="1027" t="inlineStr">
        <is>
          <t>Master Box Universal - 3 Ply &gt; 300 mm 560 GSM</t>
        </is>
      </c>
      <c r="F15" s="706" t="inlineStr">
        <is>
          <t>B</t>
        </is>
      </c>
      <c r="G15" s="706" t="n">
        <v>0</v>
      </c>
      <c r="H15" s="706" t="inlineStr">
        <is>
          <t>3 Ply</t>
        </is>
      </c>
      <c r="I15" s="706" t="inlineStr">
        <is>
          <t>KM</t>
        </is>
      </c>
      <c r="J15" s="706" t="inlineStr">
        <is>
          <t>&gt; 300 mm</t>
        </is>
      </c>
      <c r="K15" s="706" t="inlineStr">
        <is>
          <t>U</t>
        </is>
      </c>
      <c r="L15" s="300" t="n">
        <v>100</v>
      </c>
      <c r="M15" s="300" t="n">
        <v>100</v>
      </c>
      <c r="N15" s="301" t="n">
        <v>100</v>
      </c>
      <c r="O15" s="16" t="inlineStr">
        <is>
          <t>Virgin Kraft</t>
        </is>
      </c>
      <c r="P15" s="17" t="n">
        <v>230</v>
      </c>
      <c r="Q15" s="17" t="n"/>
      <c r="R15" s="17" t="n"/>
      <c r="S15" s="455" t="n">
        <v>43</v>
      </c>
      <c r="T15" s="150">
        <f>(M15+N15+10)/25.4</f>
        <v/>
      </c>
      <c r="U15" s="150">
        <f>((L15+M15+55)*2)/25.4</f>
        <v/>
      </c>
      <c r="V15" s="903">
        <f>((T16*U16*P15)/1550)/1000</f>
        <v/>
      </c>
      <c r="W15" s="903">
        <f>V15*S15</f>
        <v/>
      </c>
      <c r="X15" s="903">
        <f>(V15*3%)</f>
        <v/>
      </c>
      <c r="Y15" s="903">
        <f>X15*S15</f>
        <v/>
      </c>
      <c r="Z15" s="903">
        <f>W15+Y15</f>
        <v/>
      </c>
      <c r="AA15" s="903" t="n">
        <v>6.85</v>
      </c>
      <c r="AB15" s="903">
        <f>(V15+X15)*AA15</f>
        <v/>
      </c>
      <c r="AC15" s="650">
        <f>1/3</f>
        <v/>
      </c>
      <c r="AD15" s="650" t="n">
        <v>0</v>
      </c>
      <c r="AE15" s="650" t="n">
        <v>0</v>
      </c>
      <c r="AF15" s="650">
        <f>AB15+AC15+AD15+AE15</f>
        <v/>
      </c>
      <c r="AG15" s="650">
        <f>0.1/3</f>
        <v/>
      </c>
      <c r="AH15" s="650">
        <f>(Z15+AF15+AG15)*10%</f>
        <v/>
      </c>
      <c r="AI15" s="650" t="n">
        <v>0</v>
      </c>
      <c r="AJ15" s="864">
        <f>Z15+AF15+AG15+AH15-AI15</f>
        <v/>
      </c>
      <c r="AK15" s="505">
        <f>AJ15+AJ16+AJ17</f>
        <v/>
      </c>
    </row>
    <row r="16">
      <c r="A16" s="706" t="n">
        <v>4</v>
      </c>
      <c r="B16" s="299" t="n">
        <v>46266</v>
      </c>
      <c r="C16" s="706" t="inlineStr">
        <is>
          <t>SKE</t>
        </is>
      </c>
      <c r="D16" s="706" t="n"/>
      <c r="E16" s="1027" t="inlineStr">
        <is>
          <t>Master Box Universal - 3 Ply &gt; 300 mm 560 GSM</t>
        </is>
      </c>
      <c r="F16" s="706" t="inlineStr">
        <is>
          <t>B</t>
        </is>
      </c>
      <c r="G16" s="706" t="n">
        <v>0</v>
      </c>
      <c r="H16" s="706" t="inlineStr">
        <is>
          <t>3 Ply</t>
        </is>
      </c>
      <c r="I16" s="706" t="inlineStr">
        <is>
          <t>KM</t>
        </is>
      </c>
      <c r="J16" s="706" t="inlineStr">
        <is>
          <t>&gt; 300 mm</t>
        </is>
      </c>
      <c r="K16" s="706" t="inlineStr">
        <is>
          <t>U</t>
        </is>
      </c>
      <c r="L16" s="300" t="n"/>
      <c r="M16" s="300" t="n"/>
      <c r="N16" s="301" t="n"/>
      <c r="O16" s="16" t="inlineStr">
        <is>
          <t>Semi Kraft</t>
        </is>
      </c>
      <c r="P16" s="17" t="n">
        <v>150</v>
      </c>
      <c r="Q16" s="17" t="n"/>
      <c r="R16" s="17" t="n"/>
      <c r="S16" s="455" t="n">
        <v>41</v>
      </c>
      <c r="T16" s="61">
        <f>ROUNDUP($T15,0)+0.2</f>
        <v/>
      </c>
      <c r="U16" s="61">
        <f>ROUNDUP($U15,0)+0.3</f>
        <v/>
      </c>
      <c r="V16" s="903">
        <f>((T16*U16*P16*1.45)/1550)/1000</f>
        <v/>
      </c>
      <c r="W16" s="903">
        <f>V16*S16</f>
        <v/>
      </c>
      <c r="X16" s="903">
        <f>(V16*3%)</f>
        <v/>
      </c>
      <c r="Y16" s="903">
        <f>X16*S16</f>
        <v/>
      </c>
      <c r="Z16" s="903">
        <f>W16+Y16</f>
        <v/>
      </c>
      <c r="AA16" s="903" t="n">
        <v>6.85</v>
      </c>
      <c r="AB16" s="903">
        <f>(V16+X16)*AA16</f>
        <v/>
      </c>
      <c r="AC16" s="650">
        <f>1/3</f>
        <v/>
      </c>
      <c r="AD16" s="650" t="n">
        <v>0</v>
      </c>
      <c r="AE16" s="650" t="n">
        <v>0</v>
      </c>
      <c r="AF16" s="650">
        <f>AB16+AC16+AD16+AE16</f>
        <v/>
      </c>
      <c r="AG16" s="650">
        <f>0.1/3</f>
        <v/>
      </c>
      <c r="AH16" s="650">
        <f>(Z16+AF16+AG16)*10%</f>
        <v/>
      </c>
      <c r="AI16" s="650" t="n">
        <v>0</v>
      </c>
      <c r="AJ16" s="864">
        <f>Z16+AF16+AG16+AH16-AI16</f>
        <v/>
      </c>
      <c r="AK16" s="505" t="inlineStr">
        <is>
          <t>ok</t>
        </is>
      </c>
    </row>
    <row r="17">
      <c r="A17" s="706" t="n">
        <v>4</v>
      </c>
      <c r="B17" s="299" t="n">
        <v>46266</v>
      </c>
      <c r="C17" s="706" t="inlineStr">
        <is>
          <t>SKE</t>
        </is>
      </c>
      <c r="D17" s="706" t="n"/>
      <c r="E17" s="1027" t="inlineStr">
        <is>
          <t>Master Box Universal - 3 Ply &gt; 300 mm 560 GSM</t>
        </is>
      </c>
      <c r="F17" s="706" t="inlineStr">
        <is>
          <t>B</t>
        </is>
      </c>
      <c r="G17" s="706" t="n">
        <v>0</v>
      </c>
      <c r="H17" s="706" t="inlineStr">
        <is>
          <t>3 Ply</t>
        </is>
      </c>
      <c r="I17" s="706" t="inlineStr">
        <is>
          <t>KM</t>
        </is>
      </c>
      <c r="J17" s="706" t="inlineStr">
        <is>
          <t>&gt; 300 mm</t>
        </is>
      </c>
      <c r="K17" s="706" t="inlineStr">
        <is>
          <t>U</t>
        </is>
      </c>
      <c r="L17" s="300" t="n"/>
      <c r="M17" s="300" t="n"/>
      <c r="N17" s="301" t="n"/>
      <c r="O17" s="16" t="inlineStr">
        <is>
          <t>Virgin Kraft</t>
        </is>
      </c>
      <c r="P17" s="17" t="n">
        <v>180</v>
      </c>
      <c r="Q17" s="17" t="n"/>
      <c r="R17" s="17" t="n"/>
      <c r="S17" s="455" t="n">
        <v>43</v>
      </c>
      <c r="T17" s="61">
        <f>T16</f>
        <v/>
      </c>
      <c r="U17" s="61">
        <f>U16</f>
        <v/>
      </c>
      <c r="V17" s="903">
        <f>((T17*U17*P17)/1550)/1000</f>
        <v/>
      </c>
      <c r="W17" s="903">
        <f>V17*S17</f>
        <v/>
      </c>
      <c r="X17" s="903">
        <f>(V17*3%)</f>
        <v/>
      </c>
      <c r="Y17" s="903">
        <f>X17*S17</f>
        <v/>
      </c>
      <c r="Z17" s="903">
        <f>W17+Y17</f>
        <v/>
      </c>
      <c r="AA17" s="903" t="n">
        <v>6.85</v>
      </c>
      <c r="AB17" s="903">
        <f>(V17+X17)*AA17</f>
        <v/>
      </c>
      <c r="AC17" s="650">
        <f>1/3</f>
        <v/>
      </c>
      <c r="AD17" s="650" t="n">
        <v>0</v>
      </c>
      <c r="AE17" s="650" t="n">
        <v>0</v>
      </c>
      <c r="AF17" s="650">
        <f>AB17+AC17+AD17+AE17</f>
        <v/>
      </c>
      <c r="AG17" s="650">
        <f>0.1/3</f>
        <v/>
      </c>
      <c r="AH17" s="650">
        <f>(Z17+AF17+AG17)*10%</f>
        <v/>
      </c>
      <c r="AI17" s="650" t="n">
        <v>0</v>
      </c>
      <c r="AJ17" s="864">
        <f>Z17+AF17+AG17+AH17-AI17</f>
        <v/>
      </c>
      <c r="AK17" s="505" t="n"/>
    </row>
    <row r="18" ht="15" customHeight="1">
      <c r="A18" s="706" t="n">
        <v>5</v>
      </c>
      <c r="B18" s="299" t="n">
        <v>46266</v>
      </c>
      <c r="C18" s="706" t="inlineStr">
        <is>
          <t>SKE</t>
        </is>
      </c>
      <c r="D18" s="706" t="n"/>
      <c r="E18" s="1027" t="inlineStr">
        <is>
          <t>HSC Master Box Universal - 3 Ply &gt; 300 mm 640 GSM</t>
        </is>
      </c>
      <c r="F18" s="706" t="inlineStr">
        <is>
          <t>B</t>
        </is>
      </c>
      <c r="G18" s="706" t="n">
        <v>0</v>
      </c>
      <c r="H18" s="706" t="inlineStr">
        <is>
          <t>3 Ply</t>
        </is>
      </c>
      <c r="I18" s="706" t="inlineStr">
        <is>
          <t>KM &amp; HSC</t>
        </is>
      </c>
      <c r="J18" s="706" t="inlineStr">
        <is>
          <t>&gt; 300 mm</t>
        </is>
      </c>
      <c r="K18" s="706" t="inlineStr">
        <is>
          <t>U</t>
        </is>
      </c>
      <c r="L18" s="300" t="n">
        <v>100</v>
      </c>
      <c r="M18" s="300" t="n">
        <v>100</v>
      </c>
      <c r="N18" s="301" t="n">
        <v>100</v>
      </c>
      <c r="O18" s="16" t="inlineStr">
        <is>
          <t>Virgin Kraft</t>
        </is>
      </c>
      <c r="P18" s="17" t="n">
        <v>230</v>
      </c>
      <c r="Q18" s="17" t="n"/>
      <c r="R18" s="17" t="n"/>
      <c r="S18" s="455" t="n">
        <v>43</v>
      </c>
      <c r="T18" s="150">
        <f>((M18/2)+(N18+10))/25.4</f>
        <v/>
      </c>
      <c r="U18" s="150">
        <f>((L18+M18+55)*2)/25.4</f>
        <v/>
      </c>
      <c r="V18" s="903">
        <f>((T19*U19*P18)/1550)/1000</f>
        <v/>
      </c>
      <c r="W18" s="903">
        <f>V18*S18</f>
        <v/>
      </c>
      <c r="X18" s="903">
        <f>(V18*3%)</f>
        <v/>
      </c>
      <c r="Y18" s="903">
        <f>X18*S18</f>
        <v/>
      </c>
      <c r="Z18" s="903">
        <f>W18+Y18</f>
        <v/>
      </c>
      <c r="AA18" s="903" t="n">
        <v>6.85</v>
      </c>
      <c r="AB18" s="903">
        <f>(V18+X18)*AA18</f>
        <v/>
      </c>
      <c r="AC18" s="650">
        <f>1/3</f>
        <v/>
      </c>
      <c r="AD18" s="650" t="n">
        <v>0</v>
      </c>
      <c r="AE18" s="650" t="n">
        <v>0</v>
      </c>
      <c r="AF18" s="650">
        <f>AB18+AC18+AD18+AE18</f>
        <v/>
      </c>
      <c r="AG18" s="650">
        <f>0.1/3</f>
        <v/>
      </c>
      <c r="AH18" s="650">
        <f>(Z18+AF18+AG18)*10%</f>
        <v/>
      </c>
      <c r="AI18" s="650" t="n">
        <v>0</v>
      </c>
      <c r="AJ18" s="864">
        <f>Z18+AF18+AG18+AH18-AI18</f>
        <v/>
      </c>
      <c r="AK18" s="505">
        <f>AJ18+AJ19+AJ20</f>
        <v/>
      </c>
    </row>
    <row r="19">
      <c r="A19" s="706" t="n">
        <v>5</v>
      </c>
      <c r="B19" s="299" t="n">
        <v>46266</v>
      </c>
      <c r="C19" s="706" t="inlineStr">
        <is>
          <t>SKE</t>
        </is>
      </c>
      <c r="D19" s="706" t="n"/>
      <c r="E19" s="1027" t="inlineStr">
        <is>
          <t>HSC Master Box Universal - 3 Ply &gt; 300 mm 640 GSM</t>
        </is>
      </c>
      <c r="F19" s="706" t="inlineStr">
        <is>
          <t>B</t>
        </is>
      </c>
      <c r="G19" s="706" t="n">
        <v>0</v>
      </c>
      <c r="H19" s="706" t="inlineStr">
        <is>
          <t>3 Ply</t>
        </is>
      </c>
      <c r="I19" s="706" t="inlineStr">
        <is>
          <t>KM &amp; HSC</t>
        </is>
      </c>
      <c r="J19" s="706" t="inlineStr">
        <is>
          <t>&gt; 300 mm</t>
        </is>
      </c>
      <c r="K19" s="706" t="inlineStr">
        <is>
          <t>U</t>
        </is>
      </c>
      <c r="L19" s="300" t="n"/>
      <c r="M19" s="300" t="n"/>
      <c r="N19" s="301" t="n"/>
      <c r="O19" s="16" t="inlineStr">
        <is>
          <t>Semi Kraft</t>
        </is>
      </c>
      <c r="P19" s="17" t="n">
        <v>180</v>
      </c>
      <c r="Q19" s="17" t="n"/>
      <c r="R19" s="17" t="n"/>
      <c r="S19" s="455" t="n">
        <v>41</v>
      </c>
      <c r="T19" s="61">
        <f>ROUNDUP($T18,0)+0.2</f>
        <v/>
      </c>
      <c r="U19" s="61">
        <f>ROUNDUP($U18,0)+0.3</f>
        <v/>
      </c>
      <c r="V19" s="903">
        <f>((T19*U19*P19*1.45)/1550)/1000</f>
        <v/>
      </c>
      <c r="W19" s="903">
        <f>V19*S19</f>
        <v/>
      </c>
      <c r="X19" s="903">
        <f>(V19*3%)</f>
        <v/>
      </c>
      <c r="Y19" s="903">
        <f>X19*S19</f>
        <v/>
      </c>
      <c r="Z19" s="903">
        <f>W19+Y19</f>
        <v/>
      </c>
      <c r="AA19" s="903" t="n">
        <v>6.85</v>
      </c>
      <c r="AB19" s="903">
        <f>(V19+X19)*AA19</f>
        <v/>
      </c>
      <c r="AC19" s="650">
        <f>1/3</f>
        <v/>
      </c>
      <c r="AD19" s="650" t="n">
        <v>0</v>
      </c>
      <c r="AE19" s="650" t="n">
        <v>0</v>
      </c>
      <c r="AF19" s="650">
        <f>AB19+AC19+AD19+AE19</f>
        <v/>
      </c>
      <c r="AG19" s="650">
        <f>0.1/3</f>
        <v/>
      </c>
      <c r="AH19" s="650">
        <f>(Z19+AF19+AG19)*10%</f>
        <v/>
      </c>
      <c r="AI19" s="650" t="n">
        <v>0</v>
      </c>
      <c r="AJ19" s="864">
        <f>Z19+AF19+AG19+AH19-AI19</f>
        <v/>
      </c>
      <c r="AK19" s="505" t="inlineStr">
        <is>
          <t>ok</t>
        </is>
      </c>
    </row>
    <row r="20">
      <c r="A20" s="706" t="n">
        <v>5</v>
      </c>
      <c r="B20" s="299" t="n">
        <v>46266</v>
      </c>
      <c r="C20" s="706" t="inlineStr">
        <is>
          <t>SKE</t>
        </is>
      </c>
      <c r="D20" s="706" t="n"/>
      <c r="E20" s="1027" t="inlineStr">
        <is>
          <t>HSC Master Box Universal - 3 Ply &gt; 300 mm 640 GSM</t>
        </is>
      </c>
      <c r="F20" s="706" t="inlineStr">
        <is>
          <t>B</t>
        </is>
      </c>
      <c r="G20" s="706" t="n">
        <v>0</v>
      </c>
      <c r="H20" s="706" t="inlineStr">
        <is>
          <t>3 Ply</t>
        </is>
      </c>
      <c r="I20" s="706" t="inlineStr">
        <is>
          <t>KM &amp; HSC</t>
        </is>
      </c>
      <c r="J20" s="706" t="inlineStr">
        <is>
          <t>&gt; 300 mm</t>
        </is>
      </c>
      <c r="K20" s="706" t="inlineStr">
        <is>
          <t>U</t>
        </is>
      </c>
      <c r="L20" s="300" t="n"/>
      <c r="M20" s="300" t="n"/>
      <c r="N20" s="301" t="n"/>
      <c r="O20" s="16" t="inlineStr">
        <is>
          <t>Virgin Kraft</t>
        </is>
      </c>
      <c r="P20" s="17" t="n">
        <v>230</v>
      </c>
      <c r="Q20" s="17" t="n"/>
      <c r="R20" s="17" t="n"/>
      <c r="S20" s="455" t="n">
        <v>43</v>
      </c>
      <c r="T20" s="61">
        <f>T19</f>
        <v/>
      </c>
      <c r="U20" s="61">
        <f>U19</f>
        <v/>
      </c>
      <c r="V20" s="903">
        <f>((T20*U20*P20)/1550)/1000</f>
        <v/>
      </c>
      <c r="W20" s="903">
        <f>V20*S20</f>
        <v/>
      </c>
      <c r="X20" s="903">
        <f>(V20*3%)</f>
        <v/>
      </c>
      <c r="Y20" s="903">
        <f>X20*S20</f>
        <v/>
      </c>
      <c r="Z20" s="903">
        <f>W20+Y20</f>
        <v/>
      </c>
      <c r="AA20" s="903" t="n">
        <v>6.85</v>
      </c>
      <c r="AB20" s="903">
        <f>(V20+X20)*AA20</f>
        <v/>
      </c>
      <c r="AC20" s="650">
        <f>1/3</f>
        <v/>
      </c>
      <c r="AD20" s="650" t="n">
        <v>0</v>
      </c>
      <c r="AE20" s="650" t="n">
        <v>0</v>
      </c>
      <c r="AF20" s="650">
        <f>AB20+AC20+AD20+AE20</f>
        <v/>
      </c>
      <c r="AG20" s="650">
        <f>0.1/3</f>
        <v/>
      </c>
      <c r="AH20" s="650">
        <f>(Z20+AF20+AG20)*10%</f>
        <v/>
      </c>
      <c r="AI20" s="650" t="n">
        <v>0</v>
      </c>
      <c r="AJ20" s="864">
        <f>Z20+AF20+AG20+AH20-AI20</f>
        <v/>
      </c>
      <c r="AK20" s="505" t="n"/>
    </row>
    <row r="21" ht="15" customHeight="1">
      <c r="A21" s="706" t="n">
        <v>6</v>
      </c>
      <c r="B21" s="299" t="n">
        <v>46266</v>
      </c>
      <c r="C21" s="706" t="inlineStr">
        <is>
          <t>SKE</t>
        </is>
      </c>
      <c r="D21" s="706" t="n"/>
      <c r="E21" s="1027" t="inlineStr">
        <is>
          <t>HSC Master Box Universal - 5 Ply &gt; 300 mm 1050 GSM</t>
        </is>
      </c>
      <c r="F21" s="706" t="inlineStr">
        <is>
          <t>B</t>
        </is>
      </c>
      <c r="G21" s="706" t="n">
        <v>0</v>
      </c>
      <c r="H21" s="706" t="inlineStr">
        <is>
          <t>5 Ply</t>
        </is>
      </c>
      <c r="I21" s="706" t="inlineStr">
        <is>
          <t>KM &amp; HSC</t>
        </is>
      </c>
      <c r="J21" s="706" t="inlineStr">
        <is>
          <t>&gt; 300 mm</t>
        </is>
      </c>
      <c r="K21" s="706" t="inlineStr">
        <is>
          <t>U</t>
        </is>
      </c>
      <c r="L21" s="300" t="n">
        <v>100</v>
      </c>
      <c r="M21" s="300" t="n">
        <v>100</v>
      </c>
      <c r="N21" s="301" t="n">
        <v>100</v>
      </c>
      <c r="O21" s="16" t="inlineStr">
        <is>
          <t>Virgin Kraft</t>
        </is>
      </c>
      <c r="P21" s="17" t="n">
        <v>230</v>
      </c>
      <c r="Q21" s="17" t="n"/>
      <c r="R21" s="17" t="n"/>
      <c r="S21" s="455" t="n">
        <v>43</v>
      </c>
      <c r="T21" s="150">
        <f>((M21/2)+(N21+10))/25.4</f>
        <v/>
      </c>
      <c r="U21" s="150">
        <f>((L21+M21+55)*2)/25.4</f>
        <v/>
      </c>
      <c r="V21" s="903">
        <f>((T22*U22*P21)/1550)/1000</f>
        <v/>
      </c>
      <c r="W21" s="903">
        <f>V21*S21</f>
        <v/>
      </c>
      <c r="X21" s="903">
        <f>(V21*3%)</f>
        <v/>
      </c>
      <c r="Y21" s="903">
        <f>X21*S21</f>
        <v/>
      </c>
      <c r="Z21" s="903">
        <f>W21+Y21</f>
        <v/>
      </c>
      <c r="AA21" s="903" t="n">
        <v>6.85</v>
      </c>
      <c r="AB21" s="903">
        <f>(V21+X21)*AA21</f>
        <v/>
      </c>
      <c r="AC21" s="650">
        <f>1/3</f>
        <v/>
      </c>
      <c r="AD21" s="650" t="n">
        <v>0</v>
      </c>
      <c r="AE21" s="650" t="n">
        <v>0</v>
      </c>
      <c r="AF21" s="650">
        <f>AB21+AC21+AD21+AE21</f>
        <v/>
      </c>
      <c r="AG21" s="650">
        <f>0.1/3</f>
        <v/>
      </c>
      <c r="AH21" s="650">
        <f>(Z21+AF21+AG21)*10%</f>
        <v/>
      </c>
      <c r="AI21" s="650" t="n">
        <v>0</v>
      </c>
      <c r="AJ21" s="864">
        <f>Z21+AF21+AG21+AH21-AI21</f>
        <v/>
      </c>
      <c r="AK21" s="505">
        <f>AJ21+AJ22+AJ23</f>
        <v/>
      </c>
    </row>
    <row r="22">
      <c r="A22" s="706" t="n">
        <v>6</v>
      </c>
      <c r="B22" s="299" t="n">
        <v>46266</v>
      </c>
      <c r="C22" s="706" t="inlineStr">
        <is>
          <t>SKE</t>
        </is>
      </c>
      <c r="D22" s="706" t="n"/>
      <c r="E22" s="1027" t="inlineStr">
        <is>
          <t>HSC Master Box Universal - 5 Ply &gt; 300 mm 1050 GSM</t>
        </is>
      </c>
      <c r="F22" s="706" t="inlineStr">
        <is>
          <t>B</t>
        </is>
      </c>
      <c r="G22" s="706" t="n">
        <v>0</v>
      </c>
      <c r="H22" s="706" t="inlineStr">
        <is>
          <t>5 Ply</t>
        </is>
      </c>
      <c r="I22" s="706" t="inlineStr">
        <is>
          <t>KM &amp; HSC</t>
        </is>
      </c>
      <c r="J22" s="706" t="inlineStr">
        <is>
          <t>&gt; 300 mm</t>
        </is>
      </c>
      <c r="K22" s="706" t="inlineStr">
        <is>
          <t>U</t>
        </is>
      </c>
      <c r="L22" s="300" t="n"/>
      <c r="M22" s="300" t="n"/>
      <c r="N22" s="301" t="n"/>
      <c r="O22" s="16" t="inlineStr">
        <is>
          <t>Semi Kraft</t>
        </is>
      </c>
      <c r="P22" s="17" t="n">
        <v>180</v>
      </c>
      <c r="Q22" s="17" t="n"/>
      <c r="R22" s="17" t="n"/>
      <c r="S22" s="455" t="n">
        <v>41</v>
      </c>
      <c r="T22" s="61">
        <f>ROUNDUP($T21,0)+0.2</f>
        <v/>
      </c>
      <c r="U22" s="61">
        <f>ROUNDUP($U21,0)+0.3</f>
        <v/>
      </c>
      <c r="V22" s="903">
        <f>((T22*U22*P22*1.45)*2/1550)/1000</f>
        <v/>
      </c>
      <c r="W22" s="903">
        <f>V22*S22</f>
        <v/>
      </c>
      <c r="X22" s="903">
        <f>(V22*3%)</f>
        <v/>
      </c>
      <c r="Y22" s="903">
        <f>X22*S22</f>
        <v/>
      </c>
      <c r="Z22" s="903">
        <f>W22+Y22</f>
        <v/>
      </c>
      <c r="AA22" s="903" t="n">
        <v>6.85</v>
      </c>
      <c r="AB22" s="903">
        <f>(V22+X22)*AA22</f>
        <v/>
      </c>
      <c r="AC22" s="650">
        <f>1/3</f>
        <v/>
      </c>
      <c r="AD22" s="650" t="n">
        <v>0</v>
      </c>
      <c r="AE22" s="650" t="n">
        <v>0</v>
      </c>
      <c r="AF22" s="650">
        <f>AB22+AC22+AD22+AE22</f>
        <v/>
      </c>
      <c r="AG22" s="650">
        <f>0.1/3</f>
        <v/>
      </c>
      <c r="AH22" s="650">
        <f>(Z22+AF22+AG22)*10%</f>
        <v/>
      </c>
      <c r="AI22" s="650" t="n">
        <v>0</v>
      </c>
      <c r="AJ22" s="864">
        <f>Z22+AF22+AG22+AH22-AI22</f>
        <v/>
      </c>
      <c r="AK22" s="505" t="inlineStr">
        <is>
          <t>ok</t>
        </is>
      </c>
    </row>
    <row r="23">
      <c r="A23" s="706" t="n">
        <v>6</v>
      </c>
      <c r="B23" s="299" t="n">
        <v>46266</v>
      </c>
      <c r="C23" s="706" t="inlineStr">
        <is>
          <t>SKE</t>
        </is>
      </c>
      <c r="D23" s="706" t="n"/>
      <c r="E23" s="1027" t="inlineStr">
        <is>
          <t>HSC Master Box Universal - 5 Ply &gt; 300 mm 1050 GSM</t>
        </is>
      </c>
      <c r="F23" s="706" t="inlineStr">
        <is>
          <t>B</t>
        </is>
      </c>
      <c r="G23" s="706" t="n">
        <v>0</v>
      </c>
      <c r="H23" s="706" t="inlineStr">
        <is>
          <t>5 Ply</t>
        </is>
      </c>
      <c r="I23" s="706" t="inlineStr">
        <is>
          <t>KM &amp; HSC</t>
        </is>
      </c>
      <c r="J23" s="706" t="inlineStr">
        <is>
          <t>&gt; 300 mm</t>
        </is>
      </c>
      <c r="K23" s="706" t="inlineStr">
        <is>
          <t>U</t>
        </is>
      </c>
      <c r="L23" s="300" t="n"/>
      <c r="M23" s="300" t="n"/>
      <c r="N23" s="301" t="n"/>
      <c r="O23" s="16" t="inlineStr">
        <is>
          <t>Virgin Kraft</t>
        </is>
      </c>
      <c r="P23" s="17" t="n">
        <v>230</v>
      </c>
      <c r="Q23" s="17" t="n"/>
      <c r="R23" s="17" t="n"/>
      <c r="S23" s="455" t="n">
        <v>43</v>
      </c>
      <c r="T23" s="61">
        <f>T22</f>
        <v/>
      </c>
      <c r="U23" s="61">
        <f>U22</f>
        <v/>
      </c>
      <c r="V23" s="903">
        <f>((T23*U23*P23)*2/1550)/1000</f>
        <v/>
      </c>
      <c r="W23" s="903">
        <f>V23*S23</f>
        <v/>
      </c>
      <c r="X23" s="903">
        <f>(V23*3%)</f>
        <v/>
      </c>
      <c r="Y23" s="903">
        <f>X23*S23</f>
        <v/>
      </c>
      <c r="Z23" s="903">
        <f>W23+Y23</f>
        <v/>
      </c>
      <c r="AA23" s="903" t="n">
        <v>6.85</v>
      </c>
      <c r="AB23" s="903">
        <f>(V23+X23)*AA23</f>
        <v/>
      </c>
      <c r="AC23" s="650">
        <f>1/3</f>
        <v/>
      </c>
      <c r="AD23" s="650" t="n">
        <v>0</v>
      </c>
      <c r="AE23" s="650" t="n">
        <v>0</v>
      </c>
      <c r="AF23" s="650">
        <f>AB23+AC23+AD23+AE23</f>
        <v/>
      </c>
      <c r="AG23" s="650">
        <f>0.1/3</f>
        <v/>
      </c>
      <c r="AH23" s="650">
        <f>(Z23+AF23+AG23)*10%</f>
        <v/>
      </c>
      <c r="AI23" s="650" t="n">
        <v>0</v>
      </c>
      <c r="AJ23" s="864">
        <f>Z23+AF23+AG23+AH23-AI23</f>
        <v/>
      </c>
      <c r="AK23" s="505" t="n"/>
    </row>
    <row r="24" ht="15" customHeight="1">
      <c r="A24" s="706" t="n">
        <v>7</v>
      </c>
      <c r="B24" s="299" t="n">
        <v>46266</v>
      </c>
      <c r="C24" s="706" t="inlineStr">
        <is>
          <t>SKE</t>
        </is>
      </c>
      <c r="D24" s="706" t="n"/>
      <c r="E24" s="1026" t="inlineStr">
        <is>
          <t>Master Box - 3 Ply - Universal Box &gt; 300 mm A-Flute 560 GSM</t>
        </is>
      </c>
      <c r="F24" s="706" t="inlineStr">
        <is>
          <t>A</t>
        </is>
      </c>
      <c r="G24" s="706" t="n">
        <v>0</v>
      </c>
      <c r="H24" s="706" t="inlineStr">
        <is>
          <t>3 Ply</t>
        </is>
      </c>
      <c r="I24" s="706" t="inlineStr">
        <is>
          <t>KM</t>
        </is>
      </c>
      <c r="J24" s="706" t="inlineStr">
        <is>
          <t>&gt; 300 mm</t>
        </is>
      </c>
      <c r="K24" s="706" t="inlineStr">
        <is>
          <t>U</t>
        </is>
      </c>
      <c r="L24" s="300" t="n">
        <v>100</v>
      </c>
      <c r="M24" s="300" t="n">
        <v>100</v>
      </c>
      <c r="N24" s="301" t="n">
        <v>100</v>
      </c>
      <c r="O24" s="717" t="inlineStr">
        <is>
          <t>Virgin Kraft</t>
        </is>
      </c>
      <c r="P24" s="702" t="n">
        <v>230</v>
      </c>
      <c r="Q24" s="702" t="n"/>
      <c r="R24" s="702" t="n"/>
      <c r="S24" s="455" t="n">
        <v>43</v>
      </c>
      <c r="T24" s="151">
        <f>(M24+N24+25)/25.4</f>
        <v/>
      </c>
      <c r="U24" s="151">
        <f>(L24+M24+L24+M24+70+70)/25.4</f>
        <v/>
      </c>
      <c r="V24" s="25">
        <f>((T25*U25*P24)/1550)/1000</f>
        <v/>
      </c>
      <c r="W24" s="25">
        <f>V24*S24</f>
        <v/>
      </c>
      <c r="X24" s="25">
        <f>(V24*3%)</f>
        <v/>
      </c>
      <c r="Y24" s="25">
        <f>X24*S24</f>
        <v/>
      </c>
      <c r="Z24" s="25">
        <f>W24+Y24</f>
        <v/>
      </c>
      <c r="AA24" s="25" t="n">
        <v>6.85</v>
      </c>
      <c r="AB24" s="25">
        <f>(V24+X24)*AA24</f>
        <v/>
      </c>
      <c r="AC24" s="650">
        <f>1/3</f>
        <v/>
      </c>
      <c r="AD24" s="650" t="n">
        <v>0</v>
      </c>
      <c r="AE24" s="650" t="n">
        <v>0</v>
      </c>
      <c r="AF24" s="650">
        <f>AB24+AC24+AD24+AE24</f>
        <v/>
      </c>
      <c r="AG24" s="650">
        <f>0.1/3</f>
        <v/>
      </c>
      <c r="AH24" s="650">
        <f>(Z24+AF24+AG24)*10%</f>
        <v/>
      </c>
      <c r="AI24" s="650" t="n">
        <v>0</v>
      </c>
      <c r="AJ24" s="864">
        <f>Z24+AF24+AG24+AH24-AI24</f>
        <v/>
      </c>
      <c r="AK24" s="505">
        <f>AJ24+AJ25+AJ26</f>
        <v/>
      </c>
    </row>
    <row r="25">
      <c r="A25" s="706" t="n">
        <v>7</v>
      </c>
      <c r="B25" s="299" t="n">
        <v>46266</v>
      </c>
      <c r="C25" s="706" t="inlineStr">
        <is>
          <t>SKE</t>
        </is>
      </c>
      <c r="D25" s="706" t="n"/>
      <c r="E25" s="1026" t="inlineStr">
        <is>
          <t>Master Box - 3 Ply - Universal Box &gt; 300 mm A-Flute 560 GSM</t>
        </is>
      </c>
      <c r="F25" s="706" t="inlineStr">
        <is>
          <t>A</t>
        </is>
      </c>
      <c r="G25" s="706" t="n">
        <v>0</v>
      </c>
      <c r="H25" s="706" t="inlineStr">
        <is>
          <t>3 Ply</t>
        </is>
      </c>
      <c r="I25" s="706" t="inlineStr">
        <is>
          <t>KM</t>
        </is>
      </c>
      <c r="J25" s="706" t="inlineStr">
        <is>
          <t>&gt; 300 mm</t>
        </is>
      </c>
      <c r="K25" s="706" t="inlineStr">
        <is>
          <t>U</t>
        </is>
      </c>
      <c r="L25" s="300" t="n"/>
      <c r="M25" s="300" t="n"/>
      <c r="N25" s="301" t="n"/>
      <c r="O25" s="717" t="inlineStr">
        <is>
          <t>Semi Kraft</t>
        </is>
      </c>
      <c r="P25" s="702" t="n">
        <v>150</v>
      </c>
      <c r="Q25" s="702" t="n"/>
      <c r="R25" s="702" t="n"/>
      <c r="S25" s="455" t="n">
        <v>41</v>
      </c>
      <c r="T25" s="372">
        <f>IF(MOD(ROUNDUP(T24,0),2)=1,ROUNDUP(T24,0)+1,ROUNDUP(T24,0))</f>
        <v/>
      </c>
      <c r="U25" s="372">
        <f>CEILING($U24,0.5)</f>
        <v/>
      </c>
      <c r="V25" s="25">
        <f>((T25*U25*P25*1.55)/1550)/1000</f>
        <v/>
      </c>
      <c r="W25" s="25">
        <f>V25*S25</f>
        <v/>
      </c>
      <c r="X25" s="25">
        <f>(V25*3%)</f>
        <v/>
      </c>
      <c r="Y25" s="25">
        <f>X25*S25</f>
        <v/>
      </c>
      <c r="Z25" s="25">
        <f>W25+Y25</f>
        <v/>
      </c>
      <c r="AA25" s="25" t="n">
        <v>6.85</v>
      </c>
      <c r="AB25" s="25">
        <f>(V25+X25)*AA25</f>
        <v/>
      </c>
      <c r="AC25" s="650">
        <f>1/3</f>
        <v/>
      </c>
      <c r="AD25" s="650" t="n">
        <v>0</v>
      </c>
      <c r="AE25" s="650" t="n">
        <v>0</v>
      </c>
      <c r="AF25" s="650">
        <f>AB25+AC25+AD25+AE25</f>
        <v/>
      </c>
      <c r="AG25" s="650">
        <f>0.1/3</f>
        <v/>
      </c>
      <c r="AH25" s="650">
        <f>(Z25+AF25+AG25)*10%</f>
        <v/>
      </c>
      <c r="AI25" s="650" t="n">
        <v>0</v>
      </c>
      <c r="AJ25" s="864">
        <f>Z25+AF25+AG25+AH25-AI25</f>
        <v/>
      </c>
      <c r="AK25" s="505" t="inlineStr">
        <is>
          <t>ok</t>
        </is>
      </c>
    </row>
    <row r="26">
      <c r="A26" s="706" t="n">
        <v>7</v>
      </c>
      <c r="B26" s="299" t="n">
        <v>46266</v>
      </c>
      <c r="C26" s="706" t="inlineStr">
        <is>
          <t>SKE</t>
        </is>
      </c>
      <c r="D26" s="706" t="n"/>
      <c r="E26" s="1026" t="inlineStr">
        <is>
          <t>Master Box - 3 Ply - Universal Box &gt; 300 mm A-Flute 560 GSM</t>
        </is>
      </c>
      <c r="F26" s="706" t="inlineStr">
        <is>
          <t>A</t>
        </is>
      </c>
      <c r="G26" s="706" t="n">
        <v>0</v>
      </c>
      <c r="H26" s="706" t="inlineStr">
        <is>
          <t>3 Ply</t>
        </is>
      </c>
      <c r="I26" s="706" t="inlineStr">
        <is>
          <t>KM</t>
        </is>
      </c>
      <c r="J26" s="706" t="inlineStr">
        <is>
          <t>&gt; 300 mm</t>
        </is>
      </c>
      <c r="K26" s="706" t="inlineStr">
        <is>
          <t>U</t>
        </is>
      </c>
      <c r="L26" s="300" t="n"/>
      <c r="M26" s="300" t="n"/>
      <c r="N26" s="301" t="n"/>
      <c r="O26" s="717" t="inlineStr">
        <is>
          <t>Virgin Kraft</t>
        </is>
      </c>
      <c r="P26" s="702" t="n">
        <v>180</v>
      </c>
      <c r="Q26" s="702" t="n"/>
      <c r="R26" s="702" t="n"/>
      <c r="S26" s="455" t="n">
        <v>43</v>
      </c>
      <c r="T26" s="31">
        <f>T25</f>
        <v/>
      </c>
      <c r="U26" s="31">
        <f>U25</f>
        <v/>
      </c>
      <c r="V26" s="25">
        <f>((T26*U26*P26)/1550)/1000</f>
        <v/>
      </c>
      <c r="W26" s="25">
        <f>V26*S26</f>
        <v/>
      </c>
      <c r="X26" s="25">
        <f>(V26*3%)</f>
        <v/>
      </c>
      <c r="Y26" s="25">
        <f>X26*S26</f>
        <v/>
      </c>
      <c r="Z26" s="25">
        <f>W26+Y26</f>
        <v/>
      </c>
      <c r="AA26" s="25" t="n">
        <v>6.85</v>
      </c>
      <c r="AB26" s="25">
        <f>(V26+X26)*AA26</f>
        <v/>
      </c>
      <c r="AC26" s="650">
        <f>1/3</f>
        <v/>
      </c>
      <c r="AD26" s="650" t="n">
        <v>0</v>
      </c>
      <c r="AE26" s="650" t="n">
        <v>0</v>
      </c>
      <c r="AF26" s="650">
        <f>AB26+AC26+AD26+AE26</f>
        <v/>
      </c>
      <c r="AG26" s="650">
        <f>0.1/3</f>
        <v/>
      </c>
      <c r="AH26" s="650">
        <f>(Z26+AF26+AG26)*10%</f>
        <v/>
      </c>
      <c r="AI26" s="650" t="n">
        <v>0</v>
      </c>
      <c r="AJ26" s="864">
        <f>Z26+AF26+AG26+AH26-AI26</f>
        <v/>
      </c>
      <c r="AK26" s="505" t="n"/>
    </row>
    <row r="27" ht="15" customHeight="1">
      <c r="A27" s="706" t="n">
        <v>8</v>
      </c>
      <c r="B27" s="299" t="n">
        <v>46266</v>
      </c>
      <c r="C27" s="706" t="inlineStr">
        <is>
          <t>SKE</t>
        </is>
      </c>
      <c r="D27" s="706" t="n"/>
      <c r="E27" s="1026" t="inlineStr">
        <is>
          <t>Master Box Universal - 5 Ply &lt; 300 mm 890 GSM</t>
        </is>
      </c>
      <c r="F27" s="706" t="inlineStr">
        <is>
          <t>B</t>
        </is>
      </c>
      <c r="G27" s="706" t="n">
        <v>0</v>
      </c>
      <c r="H27" s="706" t="inlineStr">
        <is>
          <t>5 Ply</t>
        </is>
      </c>
      <c r="I27" s="706" t="inlineStr">
        <is>
          <t>KM</t>
        </is>
      </c>
      <c r="J27" s="706" t="inlineStr">
        <is>
          <t>&lt; 300 mm</t>
        </is>
      </c>
      <c r="K27" s="706" t="inlineStr">
        <is>
          <t>U</t>
        </is>
      </c>
      <c r="L27" s="300" t="n">
        <v>100</v>
      </c>
      <c r="M27" s="300" t="n">
        <v>100</v>
      </c>
      <c r="N27" s="301" t="n">
        <v>100</v>
      </c>
      <c r="O27" s="16" t="inlineStr">
        <is>
          <t>Virgin Kraft</t>
        </is>
      </c>
      <c r="P27" s="17" t="n">
        <v>230</v>
      </c>
      <c r="Q27" s="17" t="n"/>
      <c r="R27" s="17" t="n"/>
      <c r="S27" s="455" t="n">
        <v>43</v>
      </c>
      <c r="T27" s="150">
        <f>(M27+N27+10)/25.4</f>
        <v/>
      </c>
      <c r="U27" s="150">
        <f>((L27+M27)*2+55)/25.4</f>
        <v/>
      </c>
      <c r="V27" s="903">
        <f>((T28*U28*P27)/1550)/1000</f>
        <v/>
      </c>
      <c r="W27" s="903">
        <f>V27*S27</f>
        <v/>
      </c>
      <c r="X27" s="903">
        <f>(V27*3%)</f>
        <v/>
      </c>
      <c r="Y27" s="903">
        <f>X27*S27</f>
        <v/>
      </c>
      <c r="Z27" s="903">
        <f>W27+Y27</f>
        <v/>
      </c>
      <c r="AA27" s="903" t="n">
        <v>6.85</v>
      </c>
      <c r="AB27" s="903">
        <f>(V27+X27)*AA27</f>
        <v/>
      </c>
      <c r="AC27" s="650">
        <f>1/3</f>
        <v/>
      </c>
      <c r="AD27" s="650" t="n">
        <v>0</v>
      </c>
      <c r="AE27" s="650" t="n">
        <v>0</v>
      </c>
      <c r="AF27" s="650">
        <f>AB27+AC27+AD27+AE27</f>
        <v/>
      </c>
      <c r="AG27" s="650">
        <f>0.1/3</f>
        <v/>
      </c>
      <c r="AH27" s="650">
        <f>(Z27+AF27+AG27)*10%</f>
        <v/>
      </c>
      <c r="AI27" s="650" t="n">
        <v>0</v>
      </c>
      <c r="AJ27" s="864">
        <f>Z27+AF27+AG27+AH27-AI27</f>
        <v/>
      </c>
      <c r="AK27" s="505">
        <f>AJ27+AJ28+AJ29</f>
        <v/>
      </c>
    </row>
    <row r="28">
      <c r="A28" s="706" t="n">
        <v>8</v>
      </c>
      <c r="B28" s="299" t="n">
        <v>46266</v>
      </c>
      <c r="C28" s="706" t="inlineStr">
        <is>
          <t>SKE</t>
        </is>
      </c>
      <c r="D28" s="706" t="n"/>
      <c r="E28" s="1026" t="inlineStr">
        <is>
          <t>Master Box Universal - 5 Ply &lt; 300 mm 890 GSM</t>
        </is>
      </c>
      <c r="F28" s="706" t="inlineStr">
        <is>
          <t>B</t>
        </is>
      </c>
      <c r="G28" s="706" t="n">
        <v>0</v>
      </c>
      <c r="H28" s="706" t="inlineStr">
        <is>
          <t>5 Ply</t>
        </is>
      </c>
      <c r="I28" s="706" t="inlineStr">
        <is>
          <t>KM</t>
        </is>
      </c>
      <c r="J28" s="706" t="inlineStr">
        <is>
          <t>&lt; 300 mm</t>
        </is>
      </c>
      <c r="K28" s="706" t="inlineStr">
        <is>
          <t>U</t>
        </is>
      </c>
      <c r="L28" s="300" t="n"/>
      <c r="M28" s="300" t="n"/>
      <c r="N28" s="301" t="n"/>
      <c r="O28" s="16" t="inlineStr">
        <is>
          <t>Semi Kraft</t>
        </is>
      </c>
      <c r="P28" s="17" t="n">
        <v>150</v>
      </c>
      <c r="Q28" s="17" t="n"/>
      <c r="R28" s="17" t="n"/>
      <c r="S28" s="455" t="n">
        <v>41</v>
      </c>
      <c r="T28" s="61">
        <f>ROUNDUP($T27,0)+0.2</f>
        <v/>
      </c>
      <c r="U28" s="61">
        <f>ROUNDUP($U27,0)+0.3</f>
        <v/>
      </c>
      <c r="V28" s="903">
        <f>((T28*U28*P28*1.45)*2/1550)/1000</f>
        <v/>
      </c>
      <c r="W28" s="903">
        <f>V28*S28</f>
        <v/>
      </c>
      <c r="X28" s="903">
        <f>(V28*3%)</f>
        <v/>
      </c>
      <c r="Y28" s="903">
        <f>X28*S28</f>
        <v/>
      </c>
      <c r="Z28" s="903">
        <f>W28+Y28</f>
        <v/>
      </c>
      <c r="AA28" s="903" t="n">
        <v>6.85</v>
      </c>
      <c r="AB28" s="903">
        <f>(V28+X28)*AA28</f>
        <v/>
      </c>
      <c r="AC28" s="650">
        <f>1/3</f>
        <v/>
      </c>
      <c r="AD28" s="650" t="n">
        <v>0</v>
      </c>
      <c r="AE28" s="650" t="n">
        <v>0</v>
      </c>
      <c r="AF28" s="650">
        <f>AB28+AC28+AD28+AE28</f>
        <v/>
      </c>
      <c r="AG28" s="650">
        <f>0.1/3</f>
        <v/>
      </c>
      <c r="AH28" s="650">
        <f>(Z28+AF28+AG28)*10%</f>
        <v/>
      </c>
      <c r="AI28" s="650" t="n">
        <v>0</v>
      </c>
      <c r="AJ28" s="864">
        <f>Z28+AF28+AG28+AH28-AI28</f>
        <v/>
      </c>
      <c r="AK28" s="505" t="inlineStr">
        <is>
          <t>ok</t>
        </is>
      </c>
    </row>
    <row r="29">
      <c r="A29" s="706" t="n">
        <v>8</v>
      </c>
      <c r="B29" s="299" t="n">
        <v>46266</v>
      </c>
      <c r="C29" s="706" t="inlineStr">
        <is>
          <t>SKE</t>
        </is>
      </c>
      <c r="D29" s="706" t="n"/>
      <c r="E29" s="1026" t="inlineStr">
        <is>
          <t>Master Box Universal - 5 Ply &lt; 300 mm 890 GSM</t>
        </is>
      </c>
      <c r="F29" s="706" t="inlineStr">
        <is>
          <t>B</t>
        </is>
      </c>
      <c r="G29" s="706" t="n">
        <v>0</v>
      </c>
      <c r="H29" s="706" t="inlineStr">
        <is>
          <t>5 Ply</t>
        </is>
      </c>
      <c r="I29" s="706" t="inlineStr">
        <is>
          <t>KM</t>
        </is>
      </c>
      <c r="J29" s="706" t="inlineStr">
        <is>
          <t>&lt; 300 mm</t>
        </is>
      </c>
      <c r="K29" s="706" t="inlineStr">
        <is>
          <t>U</t>
        </is>
      </c>
      <c r="L29" s="300" t="n"/>
      <c r="M29" s="300" t="n"/>
      <c r="N29" s="301" t="n"/>
      <c r="O29" s="16" t="inlineStr">
        <is>
          <t>Virgin Kraft</t>
        </is>
      </c>
      <c r="P29" s="17" t="n">
        <v>180</v>
      </c>
      <c r="Q29" s="17" t="n"/>
      <c r="R29" s="17" t="n"/>
      <c r="S29" s="455" t="n">
        <v>43</v>
      </c>
      <c r="T29" s="61">
        <f>T28</f>
        <v/>
      </c>
      <c r="U29" s="61">
        <f>U28</f>
        <v/>
      </c>
      <c r="V29" s="903">
        <f>((T29*U29*P29)/1550)*2/1000</f>
        <v/>
      </c>
      <c r="W29" s="903">
        <f>V29*S29</f>
        <v/>
      </c>
      <c r="X29" s="903">
        <f>(V29*3%)</f>
        <v/>
      </c>
      <c r="Y29" s="903">
        <f>X29*S29</f>
        <v/>
      </c>
      <c r="Z29" s="903">
        <f>W29+Y29</f>
        <v/>
      </c>
      <c r="AA29" s="903" t="n">
        <v>6.85</v>
      </c>
      <c r="AB29" s="903">
        <f>(V29+X29)*AA29</f>
        <v/>
      </c>
      <c r="AC29" s="650">
        <f>1/3</f>
        <v/>
      </c>
      <c r="AD29" s="650" t="n">
        <v>0</v>
      </c>
      <c r="AE29" s="650" t="n">
        <v>0</v>
      </c>
      <c r="AF29" s="650">
        <f>AB29+AC29+AD29+AE29</f>
        <v/>
      </c>
      <c r="AG29" s="650">
        <f>0.1/3</f>
        <v/>
      </c>
      <c r="AH29" s="650">
        <f>(Z29+AF29+AG29)*10%</f>
        <v/>
      </c>
      <c r="AI29" s="650" t="n">
        <v>0</v>
      </c>
      <c r="AJ29" s="864">
        <f>Z29+AF29+AG29+AH29-AI29</f>
        <v/>
      </c>
      <c r="AK29" s="505" t="n"/>
    </row>
    <row r="30" ht="15" customHeight="1">
      <c r="A30" s="706" t="n">
        <v>9</v>
      </c>
      <c r="B30" s="299" t="n">
        <v>46266</v>
      </c>
      <c r="C30" s="706" t="inlineStr">
        <is>
          <t>SKE</t>
        </is>
      </c>
      <c r="D30" s="706" t="n"/>
      <c r="E30" s="1026" t="inlineStr">
        <is>
          <t>Master Box Universal - 5 Ply &gt; 300 mm 890 GSM</t>
        </is>
      </c>
      <c r="F30" s="706" t="inlineStr">
        <is>
          <t>B</t>
        </is>
      </c>
      <c r="G30" s="706" t="n">
        <v>0</v>
      </c>
      <c r="H30" s="706" t="inlineStr">
        <is>
          <t>5 Ply</t>
        </is>
      </c>
      <c r="I30" s="706" t="inlineStr">
        <is>
          <t>KM</t>
        </is>
      </c>
      <c r="J30" s="706" t="inlineStr">
        <is>
          <t>&gt; 300 mm</t>
        </is>
      </c>
      <c r="K30" s="706" t="inlineStr">
        <is>
          <t>U</t>
        </is>
      </c>
      <c r="L30" s="300" t="n">
        <v>100</v>
      </c>
      <c r="M30" s="300" t="n">
        <v>100</v>
      </c>
      <c r="N30" s="301" t="n">
        <v>100</v>
      </c>
      <c r="O30" s="16" t="inlineStr">
        <is>
          <t>Virgin Kraft</t>
        </is>
      </c>
      <c r="P30" s="17" t="n">
        <v>230</v>
      </c>
      <c r="Q30" s="17" t="n"/>
      <c r="R30" s="17" t="n"/>
      <c r="S30" s="455" t="n">
        <v>43</v>
      </c>
      <c r="T30" s="153">
        <f>(M30+N30+10)/25.4</f>
        <v/>
      </c>
      <c r="U30" s="153">
        <f>((L30+M30+55)*2)/25.4</f>
        <v/>
      </c>
      <c r="V30" s="903">
        <f>((T31*U31*P30)/1550)/1000</f>
        <v/>
      </c>
      <c r="W30" s="903">
        <f>V30*S30</f>
        <v/>
      </c>
      <c r="X30" s="903">
        <f>(V30*3%)</f>
        <v/>
      </c>
      <c r="Y30" s="903">
        <f>X30*S30</f>
        <v/>
      </c>
      <c r="Z30" s="903">
        <f>W30+Y30</f>
        <v/>
      </c>
      <c r="AA30" s="903" t="n">
        <v>6.85</v>
      </c>
      <c r="AB30" s="903">
        <f>(V30+X30)*AA30</f>
        <v/>
      </c>
      <c r="AC30" s="650">
        <f>1/3</f>
        <v/>
      </c>
      <c r="AD30" s="650" t="n">
        <v>0</v>
      </c>
      <c r="AE30" s="650" t="n">
        <v>0</v>
      </c>
      <c r="AF30" s="650">
        <f>AB30+AC30+AD30+AE30</f>
        <v/>
      </c>
      <c r="AG30" s="650">
        <f>0.1/3</f>
        <v/>
      </c>
      <c r="AH30" s="650">
        <f>(Z30+AF30+AG30)*10%</f>
        <v/>
      </c>
      <c r="AI30" s="650" t="n">
        <v>0</v>
      </c>
      <c r="AJ30" s="864">
        <f>Z30+AF30+AG30+AH30-AI30</f>
        <v/>
      </c>
      <c r="AK30" s="505">
        <f>AJ30+AJ31+AJ32</f>
        <v/>
      </c>
    </row>
    <row r="31">
      <c r="A31" s="706" t="n">
        <v>9</v>
      </c>
      <c r="B31" s="299" t="n">
        <v>46266</v>
      </c>
      <c r="C31" s="706" t="inlineStr">
        <is>
          <t>SKE</t>
        </is>
      </c>
      <c r="D31" s="706" t="n"/>
      <c r="E31" s="1026" t="inlineStr">
        <is>
          <t>Master Box Universal - 5 Ply &gt; 300 mm 890 GSM</t>
        </is>
      </c>
      <c r="F31" s="706" t="inlineStr">
        <is>
          <t>B</t>
        </is>
      </c>
      <c r="G31" s="706" t="n">
        <v>0</v>
      </c>
      <c r="H31" s="706" t="inlineStr">
        <is>
          <t>5 Ply</t>
        </is>
      </c>
      <c r="I31" s="706" t="inlineStr">
        <is>
          <t>KM</t>
        </is>
      </c>
      <c r="J31" s="706" t="inlineStr">
        <is>
          <t>&gt; 300 mm</t>
        </is>
      </c>
      <c r="K31" s="706" t="inlineStr">
        <is>
          <t>U</t>
        </is>
      </c>
      <c r="L31" s="300" t="n"/>
      <c r="M31" s="300" t="n"/>
      <c r="N31" s="301" t="n"/>
      <c r="O31" s="16" t="inlineStr">
        <is>
          <t>Semi Kraft</t>
        </is>
      </c>
      <c r="P31" s="17" t="n">
        <v>150</v>
      </c>
      <c r="Q31" s="17" t="n"/>
      <c r="R31" s="17" t="n"/>
      <c r="S31" s="455" t="n">
        <v>41</v>
      </c>
      <c r="T31" s="61">
        <f>ROUNDUP($T30,0)+0.2</f>
        <v/>
      </c>
      <c r="U31" s="61">
        <f>ROUNDUP($U30,0)+0.3</f>
        <v/>
      </c>
      <c r="V31" s="903">
        <f>((T31*U31*P31*1.45)*2/1550)/1000</f>
        <v/>
      </c>
      <c r="W31" s="903">
        <f>V31*S31</f>
        <v/>
      </c>
      <c r="X31" s="903">
        <f>(V31*3%)</f>
        <v/>
      </c>
      <c r="Y31" s="903">
        <f>X31*S31</f>
        <v/>
      </c>
      <c r="Z31" s="903">
        <f>W31+Y31</f>
        <v/>
      </c>
      <c r="AA31" s="903" t="n">
        <v>6.85</v>
      </c>
      <c r="AB31" s="903">
        <f>(V31+X31)*AA31</f>
        <v/>
      </c>
      <c r="AC31" s="650">
        <f>1/3</f>
        <v/>
      </c>
      <c r="AD31" s="650" t="n">
        <v>0</v>
      </c>
      <c r="AE31" s="650" t="n">
        <v>0</v>
      </c>
      <c r="AF31" s="650">
        <f>AB31+AC31+AD31+AE31</f>
        <v/>
      </c>
      <c r="AG31" s="650">
        <f>0.1/3</f>
        <v/>
      </c>
      <c r="AH31" s="650">
        <f>(Z31+AF31+AG31)*10%</f>
        <v/>
      </c>
      <c r="AI31" s="650" t="n">
        <v>0</v>
      </c>
      <c r="AJ31" s="864">
        <f>Z31+AF31+AG31+AH31-AI31</f>
        <v/>
      </c>
      <c r="AK31" s="505" t="inlineStr">
        <is>
          <t>ok</t>
        </is>
      </c>
    </row>
    <row r="32">
      <c r="A32" s="706" t="n">
        <v>9</v>
      </c>
      <c r="B32" s="299" t="n">
        <v>46266</v>
      </c>
      <c r="C32" s="706" t="inlineStr">
        <is>
          <t>SKE</t>
        </is>
      </c>
      <c r="D32" s="706" t="n"/>
      <c r="E32" s="1026" t="inlineStr">
        <is>
          <t>Master Box Universal - 5 Ply &gt; 300 mm 890 GSM</t>
        </is>
      </c>
      <c r="F32" s="706" t="inlineStr">
        <is>
          <t>B</t>
        </is>
      </c>
      <c r="G32" s="706" t="n">
        <v>0</v>
      </c>
      <c r="H32" s="706" t="inlineStr">
        <is>
          <t>5 Ply</t>
        </is>
      </c>
      <c r="I32" s="706" t="inlineStr">
        <is>
          <t>KM</t>
        </is>
      </c>
      <c r="J32" s="706" t="inlineStr">
        <is>
          <t>&gt; 300 mm</t>
        </is>
      </c>
      <c r="K32" s="706" t="inlineStr">
        <is>
          <t>U</t>
        </is>
      </c>
      <c r="L32" s="300" t="n"/>
      <c r="M32" s="300" t="n"/>
      <c r="N32" s="301" t="n"/>
      <c r="O32" s="16" t="inlineStr">
        <is>
          <t>Virgin Kraft</t>
        </is>
      </c>
      <c r="P32" s="17" t="n">
        <v>180</v>
      </c>
      <c r="Q32" s="17" t="n"/>
      <c r="R32" s="17" t="n"/>
      <c r="S32" s="455" t="n">
        <v>43</v>
      </c>
      <c r="T32" s="61">
        <f>T31</f>
        <v/>
      </c>
      <c r="U32" s="61">
        <f>U31</f>
        <v/>
      </c>
      <c r="V32" s="903">
        <f>((T32*U32*P32)*2/1550)/1000</f>
        <v/>
      </c>
      <c r="W32" s="903">
        <f>V32*S32</f>
        <v/>
      </c>
      <c r="X32" s="903">
        <f>(V32*3%)</f>
        <v/>
      </c>
      <c r="Y32" s="903">
        <f>X32*S32</f>
        <v/>
      </c>
      <c r="Z32" s="903">
        <f>W32+Y32</f>
        <v/>
      </c>
      <c r="AA32" s="903" t="n">
        <v>6.85</v>
      </c>
      <c r="AB32" s="903">
        <f>(V32+X32)*AA32</f>
        <v/>
      </c>
      <c r="AC32" s="650">
        <f>1/3</f>
        <v/>
      </c>
      <c r="AD32" s="650" t="n">
        <v>0</v>
      </c>
      <c r="AE32" s="650" t="n">
        <v>0</v>
      </c>
      <c r="AF32" s="650">
        <f>AB32+AC32+AD32+AE32</f>
        <v/>
      </c>
      <c r="AG32" s="650">
        <f>0.1/3</f>
        <v/>
      </c>
      <c r="AH32" s="650">
        <f>(Z32+AF32+AG32)*10%</f>
        <v/>
      </c>
      <c r="AI32" s="650" t="n">
        <v>0</v>
      </c>
      <c r="AJ32" s="864">
        <f>Z32+AF32+AG32+AH32-AI32</f>
        <v/>
      </c>
      <c r="AK32" s="505" t="n"/>
    </row>
    <row r="33" ht="15" customHeight="1">
      <c r="A33" s="643" t="n">
        <v>10</v>
      </c>
      <c r="B33" s="315" t="n">
        <v>46266</v>
      </c>
      <c r="C33" s="763" t="inlineStr">
        <is>
          <t>SKE</t>
        </is>
      </c>
      <c r="D33" s="763" t="n"/>
      <c r="E33" s="1026" t="inlineStr">
        <is>
          <t>Master Box - 5 Ply - Universal Style &gt; 300 mm A+B, Flute 890 GSM</t>
        </is>
      </c>
      <c r="F33" s="763" t="inlineStr">
        <is>
          <t>A+B</t>
        </is>
      </c>
      <c r="G33" s="763" t="n">
        <v>0</v>
      </c>
      <c r="H33" s="763" t="inlineStr">
        <is>
          <t>5 Ply</t>
        </is>
      </c>
      <c r="I33" s="763" t="inlineStr">
        <is>
          <t>KM</t>
        </is>
      </c>
      <c r="J33" s="763" t="inlineStr">
        <is>
          <t>&gt; 300 mm</t>
        </is>
      </c>
      <c r="K33" s="763" t="inlineStr">
        <is>
          <t>U</t>
        </is>
      </c>
      <c r="L33" s="450" t="n">
        <v>100</v>
      </c>
      <c r="M33" s="450" t="n">
        <v>100</v>
      </c>
      <c r="N33" s="510" t="n">
        <v>100</v>
      </c>
      <c r="O33" s="791" t="inlineStr">
        <is>
          <t>Virgin Kraft</t>
        </is>
      </c>
      <c r="P33" s="763" t="n">
        <v>230</v>
      </c>
      <c r="Q33" s="763" t="n"/>
      <c r="R33" s="763" t="n"/>
      <c r="S33" s="455" t="n">
        <v>43</v>
      </c>
      <c r="T33" s="150">
        <f>(M33+N33+30)/25.4</f>
        <v/>
      </c>
      <c r="U33" s="150">
        <f>(L33+M33+L33+M33+70+70)/25.4</f>
        <v/>
      </c>
      <c r="V33" s="31">
        <f>((T34*U34*P33)/1550)/1000</f>
        <v/>
      </c>
      <c r="W33" s="31">
        <f>V33*S33</f>
        <v/>
      </c>
      <c r="X33" s="31">
        <f>(V33*3%)</f>
        <v/>
      </c>
      <c r="Y33" s="33">
        <f>X33*S33</f>
        <v/>
      </c>
      <c r="Z33" s="31">
        <f>W33+Y33</f>
        <v/>
      </c>
      <c r="AA33" s="31" t="n">
        <v>6.85</v>
      </c>
      <c r="AB33" s="31">
        <f>(V33+X33)*AA33</f>
        <v/>
      </c>
      <c r="AC33" s="650">
        <f>1/4</f>
        <v/>
      </c>
      <c r="AD33" s="650" t="n">
        <v>0</v>
      </c>
      <c r="AE33" s="650" t="n">
        <v>0</v>
      </c>
      <c r="AF33" s="650">
        <f>AB33+AC33+AD33+AE33</f>
        <v/>
      </c>
      <c r="AG33" s="650">
        <f>0.1/4</f>
        <v/>
      </c>
      <c r="AH33" s="650">
        <f>(Z33+AF33+AG33)*10%</f>
        <v/>
      </c>
      <c r="AI33" s="650" t="n">
        <v>0</v>
      </c>
      <c r="AJ33" s="864">
        <f>Z33+AF33+AG33+AH33-AI33</f>
        <v/>
      </c>
      <c r="AK33" s="505">
        <f>AJ33+AJ34+AJ35+AJ36</f>
        <v/>
      </c>
    </row>
    <row r="34" ht="15" customHeight="1">
      <c r="A34" s="643" t="n">
        <v>10</v>
      </c>
      <c r="B34" s="315" t="n">
        <v>46266</v>
      </c>
      <c r="C34" s="763" t="inlineStr">
        <is>
          <t>SKE</t>
        </is>
      </c>
      <c r="D34" s="763" t="n"/>
      <c r="E34" s="1026" t="inlineStr">
        <is>
          <t>Master Box - 5 Ply - Universal Style &gt; 300 mm A+B, Flute 890 GSM</t>
        </is>
      </c>
      <c r="F34" s="763" t="inlineStr">
        <is>
          <t>B</t>
        </is>
      </c>
      <c r="G34" s="763" t="n">
        <v>0</v>
      </c>
      <c r="H34" s="763" t="inlineStr">
        <is>
          <t>5 Ply</t>
        </is>
      </c>
      <c r="I34" s="763" t="inlineStr">
        <is>
          <t>KM</t>
        </is>
      </c>
      <c r="J34" s="763" t="inlineStr">
        <is>
          <t>&gt; 300 mm</t>
        </is>
      </c>
      <c r="K34" s="763" t="inlineStr">
        <is>
          <t>U</t>
        </is>
      </c>
      <c r="L34" s="450" t="n"/>
      <c r="M34" s="450" t="n"/>
      <c r="N34" s="510" t="n"/>
      <c r="O34" s="791" t="inlineStr">
        <is>
          <t>Semi Kraft</t>
        </is>
      </c>
      <c r="P34" s="763" t="n">
        <v>150</v>
      </c>
      <c r="Q34" s="763" t="n"/>
      <c r="R34" s="763" t="n"/>
      <c r="S34" s="455" t="n">
        <v>41</v>
      </c>
      <c r="T34" s="293">
        <f>IF(MOD(ROUNDUP(T33,0),2)=1,ROUNDUP(T33,0)+1,ROUNDUP(T33,0))</f>
        <v/>
      </c>
      <c r="U34" s="293">
        <f>CEILING($U33,0.5)</f>
        <v/>
      </c>
      <c r="V34" s="31">
        <f>(((T34*U34*P34*1.45)/1550)/1000)</f>
        <v/>
      </c>
      <c r="W34" s="31">
        <f>V34*S34</f>
        <v/>
      </c>
      <c r="X34" s="31">
        <f>(V34*3%)</f>
        <v/>
      </c>
      <c r="Y34" s="33">
        <f>X34*S34</f>
        <v/>
      </c>
      <c r="Z34" s="31">
        <f>W34+Y34</f>
        <v/>
      </c>
      <c r="AA34" s="31" t="n">
        <v>6.85</v>
      </c>
      <c r="AB34" s="31">
        <f>(V34+X34)*AA34</f>
        <v/>
      </c>
      <c r="AC34" s="650">
        <f>1/4</f>
        <v/>
      </c>
      <c r="AD34" s="650" t="n">
        <v>0</v>
      </c>
      <c r="AE34" s="650" t="n">
        <v>0</v>
      </c>
      <c r="AF34" s="650">
        <f>AB34+AC34+AD34+AE34</f>
        <v/>
      </c>
      <c r="AG34" s="650">
        <f>0.1/4</f>
        <v/>
      </c>
      <c r="AH34" s="650">
        <f>(Z34+AF34+AG34)*10%</f>
        <v/>
      </c>
      <c r="AI34" s="650" t="n">
        <v>0</v>
      </c>
      <c r="AJ34" s="864">
        <f>Z34+AF34+AG34+AH34-AI34</f>
        <v/>
      </c>
      <c r="AK34" s="505" t="inlineStr">
        <is>
          <t>ok</t>
        </is>
      </c>
    </row>
    <row r="35">
      <c r="A35" s="643" t="n">
        <v>10</v>
      </c>
      <c r="B35" s="315" t="n">
        <v>46266</v>
      </c>
      <c r="C35" s="763" t="inlineStr">
        <is>
          <t>SKE</t>
        </is>
      </c>
      <c r="D35" s="763" t="n"/>
      <c r="E35" s="1026" t="inlineStr">
        <is>
          <t>Master Box - 5 Ply - Universal Style &gt; 300 mm A+B, Flute 890 GSM</t>
        </is>
      </c>
      <c r="F35" s="763" t="inlineStr">
        <is>
          <t>A</t>
        </is>
      </c>
      <c r="G35" s="763" t="n">
        <v>0</v>
      </c>
      <c r="H35" s="763" t="inlineStr">
        <is>
          <t>5 Ply</t>
        </is>
      </c>
      <c r="I35" s="763" t="inlineStr">
        <is>
          <t>KM</t>
        </is>
      </c>
      <c r="J35" s="763" t="inlineStr">
        <is>
          <t>&gt; 300 mm</t>
        </is>
      </c>
      <c r="K35" s="763" t="inlineStr">
        <is>
          <t>U</t>
        </is>
      </c>
      <c r="L35" s="450" t="n"/>
      <c r="M35" s="450" t="n"/>
      <c r="N35" s="510" t="n"/>
      <c r="O35" s="791" t="inlineStr">
        <is>
          <t>Semi Kraft</t>
        </is>
      </c>
      <c r="P35" s="763" t="n">
        <v>150</v>
      </c>
      <c r="Q35" s="763" t="n"/>
      <c r="R35" s="763" t="n"/>
      <c r="S35" s="455" t="n">
        <v>41</v>
      </c>
      <c r="T35" s="31">
        <f>IF(MOD(ROUNDUP(T34,0),2)=1,ROUNDUP(T34,0)+1,ROUNDUP(T34,0))</f>
        <v/>
      </c>
      <c r="U35" s="31">
        <f>U34</f>
        <v/>
      </c>
      <c r="V35" s="31">
        <f>(((T35*U35*P35*1.55)/1550)/1000)</f>
        <v/>
      </c>
      <c r="W35" s="31">
        <f>V35*S35</f>
        <v/>
      </c>
      <c r="X35" s="31">
        <f>(V35*3%)</f>
        <v/>
      </c>
      <c r="Y35" s="33">
        <f>X35*S35</f>
        <v/>
      </c>
      <c r="Z35" s="31">
        <f>W35+Y35</f>
        <v/>
      </c>
      <c r="AA35" s="31" t="n">
        <v>6.85</v>
      </c>
      <c r="AB35" s="31">
        <f>(V35+X35)*AA35</f>
        <v/>
      </c>
      <c r="AC35" s="650">
        <f>1/4</f>
        <v/>
      </c>
      <c r="AD35" s="650" t="n">
        <v>0</v>
      </c>
      <c r="AE35" s="650" t="n">
        <v>0</v>
      </c>
      <c r="AF35" s="650">
        <f>AB35+AC35+AD35+AE35</f>
        <v/>
      </c>
      <c r="AG35" s="650">
        <f>0.1/4</f>
        <v/>
      </c>
      <c r="AH35" s="650">
        <f>(Z35+AF35+AG35)*10%</f>
        <v/>
      </c>
      <c r="AI35" s="650" t="n">
        <v>0</v>
      </c>
      <c r="AJ35" s="864">
        <f>Z35+AF35+AG35+AH35-AI35</f>
        <v/>
      </c>
      <c r="AK35" s="505" t="n"/>
    </row>
    <row r="36" ht="15" customHeight="1">
      <c r="A36" s="643" t="n">
        <v>10</v>
      </c>
      <c r="B36" s="315" t="n">
        <v>46266</v>
      </c>
      <c r="C36" s="763" t="inlineStr">
        <is>
          <t>SKE</t>
        </is>
      </c>
      <c r="D36" s="763" t="n"/>
      <c r="E36" s="1026" t="inlineStr">
        <is>
          <t>Master Box - 5 Ply - Universal Style &gt; 300 mm A+B, Flute 890 GSM</t>
        </is>
      </c>
      <c r="F36" s="763" t="inlineStr">
        <is>
          <t>A+B</t>
        </is>
      </c>
      <c r="G36" s="763" t="n">
        <v>0</v>
      </c>
      <c r="H36" s="763" t="inlineStr">
        <is>
          <t>5 Ply</t>
        </is>
      </c>
      <c r="I36" s="763" t="inlineStr">
        <is>
          <t>KM</t>
        </is>
      </c>
      <c r="J36" s="763" t="inlineStr">
        <is>
          <t>&gt; 300 mm</t>
        </is>
      </c>
      <c r="K36" s="763" t="inlineStr">
        <is>
          <t>U</t>
        </is>
      </c>
      <c r="L36" s="450" t="n"/>
      <c r="M36" s="450" t="n"/>
      <c r="N36" s="510" t="n"/>
      <c r="O36" s="791" t="inlineStr">
        <is>
          <t>Virgin Kraft</t>
        </is>
      </c>
      <c r="P36" s="763" t="n">
        <v>180</v>
      </c>
      <c r="Q36" s="763" t="n"/>
      <c r="R36" s="763" t="n"/>
      <c r="S36" s="455" t="n">
        <v>43</v>
      </c>
      <c r="T36" s="31">
        <f>T34</f>
        <v/>
      </c>
      <c r="U36" s="31">
        <f>U34</f>
        <v/>
      </c>
      <c r="V36" s="31">
        <f>(((T36*U36*P36)/1550)/1000)*2</f>
        <v/>
      </c>
      <c r="W36" s="31">
        <f>V36*S36</f>
        <v/>
      </c>
      <c r="X36" s="31">
        <f>(V36*3%)</f>
        <v/>
      </c>
      <c r="Y36" s="33">
        <f>X36*S36</f>
        <v/>
      </c>
      <c r="Z36" s="31">
        <f>W36+Y36</f>
        <v/>
      </c>
      <c r="AA36" s="31" t="n">
        <v>6.85</v>
      </c>
      <c r="AB36" s="31">
        <f>(V36+X36)*AA36</f>
        <v/>
      </c>
      <c r="AC36" s="650">
        <f>1/4</f>
        <v/>
      </c>
      <c r="AD36" s="650" t="n">
        <v>0</v>
      </c>
      <c r="AE36" s="650" t="n">
        <v>0</v>
      </c>
      <c r="AF36" s="650">
        <f>AB36+AC36+AD36+AE36</f>
        <v/>
      </c>
      <c r="AG36" s="650">
        <f>0.1/4</f>
        <v/>
      </c>
      <c r="AH36" s="650">
        <f>(Z36+AF36+AG36)*10%</f>
        <v/>
      </c>
      <c r="AI36" s="650" t="n">
        <v>0</v>
      </c>
      <c r="AJ36" s="864">
        <f>Z36+AF36+AG36+AH36-AI36</f>
        <v/>
      </c>
      <c r="AK36" s="505" t="n"/>
    </row>
    <row r="37">
      <c r="A37" s="706" t="n">
        <v>11</v>
      </c>
      <c r="B37" s="299" t="n">
        <v>46266</v>
      </c>
      <c r="C37" s="706" t="inlineStr">
        <is>
          <t>SKE</t>
        </is>
      </c>
      <c r="D37" s="706" t="n"/>
      <c r="E37" s="1026" t="inlineStr">
        <is>
          <t>INLAY 2D- 2 Ply 240 GSM</t>
        </is>
      </c>
      <c r="F37" s="706" t="inlineStr">
        <is>
          <t>B</t>
        </is>
      </c>
      <c r="G37" s="706" t="n">
        <v>0</v>
      </c>
      <c r="H37" s="706" t="inlineStr">
        <is>
          <t>2 Ply</t>
        </is>
      </c>
      <c r="I37" s="706" t="inlineStr">
        <is>
          <t>KEL</t>
        </is>
      </c>
      <c r="J37" s="706" t="n"/>
      <c r="K37" s="706" t="inlineStr">
        <is>
          <t>Inlay</t>
        </is>
      </c>
      <c r="L37" s="300" t="n">
        <v>100</v>
      </c>
      <c r="M37" s="300" t="n">
        <v>100</v>
      </c>
      <c r="N37" s="309" t="n"/>
      <c r="O37" s="16" t="inlineStr">
        <is>
          <t>Semi Kraft</t>
        </is>
      </c>
      <c r="P37" s="17" t="n">
        <v>120</v>
      </c>
      <c r="Q37" s="17" t="n"/>
      <c r="R37" s="17" t="n"/>
      <c r="S37" s="455" t="n">
        <v>41</v>
      </c>
      <c r="T37" s="150">
        <f>(M37+15)/25.4</f>
        <v/>
      </c>
      <c r="U37" s="150">
        <f>(L37+15)/25.4</f>
        <v/>
      </c>
      <c r="V37" s="903">
        <f>((T38*U38*P37)/1550)/1000</f>
        <v/>
      </c>
      <c r="W37" s="903">
        <f>V37*S37</f>
        <v/>
      </c>
      <c r="X37" s="903">
        <f>(V37*3%)</f>
        <v/>
      </c>
      <c r="Y37" s="903">
        <f>X37*S37</f>
        <v/>
      </c>
      <c r="Z37" s="903">
        <f>W37+Y37</f>
        <v/>
      </c>
      <c r="AA37" s="903" t="n">
        <v>6.85</v>
      </c>
      <c r="AB37" s="903">
        <f>(V37+X37)*AA37</f>
        <v/>
      </c>
      <c r="AC37" s="650">
        <f>0.5/2</f>
        <v/>
      </c>
      <c r="AD37" s="650" t="n">
        <v>0</v>
      </c>
      <c r="AE37" s="650" t="n">
        <v>0</v>
      </c>
      <c r="AF37" s="650">
        <f>AB37+AC37+AD37+AE37</f>
        <v/>
      </c>
      <c r="AG37" s="650">
        <f>0.1/2</f>
        <v/>
      </c>
      <c r="AH37" s="650">
        <f>(Z37+AF37+AG37)*10%</f>
        <v/>
      </c>
      <c r="AI37" s="650" t="n">
        <v>0</v>
      </c>
      <c r="AJ37" s="864">
        <f>Z37+AF37+AG37+AH37-AI37</f>
        <v/>
      </c>
      <c r="AK37" s="505">
        <f>AJ37+AJ38+AJ39</f>
        <v/>
      </c>
    </row>
    <row r="38">
      <c r="A38" s="706" t="n">
        <v>11</v>
      </c>
      <c r="B38" s="299" t="n">
        <v>46266</v>
      </c>
      <c r="C38" s="706" t="inlineStr">
        <is>
          <t>SKE</t>
        </is>
      </c>
      <c r="D38" s="706" t="n"/>
      <c r="E38" s="1026" t="inlineStr">
        <is>
          <t>INLAY 2D- 2 Ply 240 GSM</t>
        </is>
      </c>
      <c r="F38" s="706" t="inlineStr">
        <is>
          <t>B</t>
        </is>
      </c>
      <c r="G38" s="706" t="n">
        <v>0</v>
      </c>
      <c r="H38" s="706" t="inlineStr">
        <is>
          <t>2 Ply</t>
        </is>
      </c>
      <c r="I38" s="706" t="inlineStr">
        <is>
          <t>KEL</t>
        </is>
      </c>
      <c r="J38" s="706" t="n"/>
      <c r="K38" s="706" t="inlineStr">
        <is>
          <t>Inlay</t>
        </is>
      </c>
      <c r="L38" s="300" t="n"/>
      <c r="M38" s="300" t="n"/>
      <c r="N38" s="309" t="n"/>
      <c r="O38" s="16" t="inlineStr">
        <is>
          <t>Semi Kraft</t>
        </is>
      </c>
      <c r="P38" s="17" t="n">
        <v>120</v>
      </c>
      <c r="Q38" s="17" t="n"/>
      <c r="R38" s="17" t="n"/>
      <c r="S38" s="455" t="n">
        <v>41</v>
      </c>
      <c r="T38" s="61">
        <f>ROUNDUP($T37,0)+0.2</f>
        <v/>
      </c>
      <c r="U38" s="61">
        <f>ROUNDUP($U37,0)+0.3</f>
        <v/>
      </c>
      <c r="V38" s="903">
        <f>((T38*U38*P38*1.45)/1550)/1000</f>
        <v/>
      </c>
      <c r="W38" s="903">
        <f>V38*S38</f>
        <v/>
      </c>
      <c r="X38" s="903">
        <f>(V38*3%)</f>
        <v/>
      </c>
      <c r="Y38" s="903">
        <f>X38*S38</f>
        <v/>
      </c>
      <c r="Z38" s="903">
        <f>W38+Y38</f>
        <v/>
      </c>
      <c r="AA38" s="903" t="n">
        <v>6.85</v>
      </c>
      <c r="AB38" s="903">
        <f>(V38+X38)*AA38</f>
        <v/>
      </c>
      <c r="AC38" s="650">
        <f>0.5/2</f>
        <v/>
      </c>
      <c r="AD38" s="650" t="n">
        <v>0</v>
      </c>
      <c r="AE38" s="650" t="n">
        <v>0</v>
      </c>
      <c r="AF38" s="650">
        <f>AB38+AC38+AD38+AE38</f>
        <v/>
      </c>
      <c r="AG38" s="650">
        <f>0.1/2</f>
        <v/>
      </c>
      <c r="AH38" s="650">
        <f>(Z38+AF38+AG38)*10%</f>
        <v/>
      </c>
      <c r="AI38" s="650" t="n">
        <v>0</v>
      </c>
      <c r="AJ38" s="864">
        <f>Z38+AF38+AG38+AH38-AI38</f>
        <v/>
      </c>
      <c r="AK38" s="505" t="inlineStr">
        <is>
          <t>ok</t>
        </is>
      </c>
    </row>
    <row r="39">
      <c r="A39" s="706" t="n">
        <v>11</v>
      </c>
      <c r="B39" s="299" t="n">
        <v>46266</v>
      </c>
      <c r="C39" s="706" t="inlineStr">
        <is>
          <t>SKE</t>
        </is>
      </c>
      <c r="D39" s="706" t="n"/>
      <c r="E39" s="1026" t="inlineStr">
        <is>
          <t>INLAY 2D- 2 Ply 240 GSM</t>
        </is>
      </c>
      <c r="F39" s="706" t="inlineStr">
        <is>
          <t>B</t>
        </is>
      </c>
      <c r="G39" s="706" t="n">
        <v>0</v>
      </c>
      <c r="H39" s="706" t="inlineStr">
        <is>
          <t>2 Ply</t>
        </is>
      </c>
      <c r="I39" s="706" t="inlineStr">
        <is>
          <t>KEL</t>
        </is>
      </c>
      <c r="J39" s="706" t="n"/>
      <c r="K39" s="706" t="inlineStr">
        <is>
          <t>Inlay</t>
        </is>
      </c>
      <c r="L39" s="300" t="n"/>
      <c r="M39" s="300" t="n"/>
      <c r="N39" s="309" t="n"/>
      <c r="O39" s="16" t="n"/>
      <c r="P39" s="17" t="n"/>
      <c r="Q39" s="17" t="n"/>
      <c r="R39" s="17" t="n"/>
      <c r="S39" s="702" t="n"/>
      <c r="T39" s="17" t="n">
        <v>0</v>
      </c>
      <c r="U39" s="17" t="n">
        <v>0</v>
      </c>
      <c r="V39" s="17" t="n">
        <v>0</v>
      </c>
      <c r="W39" s="17" t="n">
        <v>0</v>
      </c>
      <c r="X39" s="17" t="n">
        <v>0</v>
      </c>
      <c r="Y39" s="17" t="n">
        <v>0</v>
      </c>
      <c r="Z39" s="17" t="n">
        <v>0</v>
      </c>
      <c r="AA39" s="17" t="n">
        <v>0</v>
      </c>
      <c r="AB39" s="17" t="n">
        <v>0</v>
      </c>
      <c r="AC39" s="17" t="n">
        <v>0</v>
      </c>
      <c r="AD39" s="650" t="n">
        <v>0</v>
      </c>
      <c r="AE39" s="650" t="n">
        <v>0</v>
      </c>
      <c r="AF39" s="650">
        <f>AB39+AC39+AD39+AE39</f>
        <v/>
      </c>
      <c r="AG39" s="650" t="n">
        <v>0</v>
      </c>
      <c r="AH39" s="650">
        <f>(Z39+AF39+AG39)*10%</f>
        <v/>
      </c>
      <c r="AI39" s="650" t="n">
        <v>0</v>
      </c>
      <c r="AJ39" s="864">
        <f>Z39+AF39+AG39+AH39-AI39</f>
        <v/>
      </c>
      <c r="AK39" s="505" t="n"/>
    </row>
    <row r="40">
      <c r="A40" s="706" t="n">
        <v>12</v>
      </c>
      <c r="B40" s="299" t="n">
        <v>46266</v>
      </c>
      <c r="C40" s="706" t="inlineStr">
        <is>
          <t>SKE</t>
        </is>
      </c>
      <c r="D40" s="706" t="n"/>
      <c r="E40" s="1026" t="inlineStr">
        <is>
          <t>INLAY 2D - 2 Ply A-Flute 240 GSM</t>
        </is>
      </c>
      <c r="F40" s="706" t="inlineStr">
        <is>
          <t>A</t>
        </is>
      </c>
      <c r="G40" s="706" t="n">
        <v>0</v>
      </c>
      <c r="H40" s="706" t="inlineStr">
        <is>
          <t>2 Ply</t>
        </is>
      </c>
      <c r="I40" s="706" t="inlineStr">
        <is>
          <t>KEL</t>
        </is>
      </c>
      <c r="J40" s="706" t="n"/>
      <c r="K40" s="706" t="inlineStr">
        <is>
          <t>Inlay</t>
        </is>
      </c>
      <c r="L40" s="300" t="n">
        <v>100</v>
      </c>
      <c r="M40" s="300" t="n">
        <v>100</v>
      </c>
      <c r="N40" s="513" t="n"/>
      <c r="O40" s="717" t="inlineStr">
        <is>
          <t>Semi Kraft</t>
        </is>
      </c>
      <c r="P40" s="702" t="n">
        <v>120</v>
      </c>
      <c r="Q40" s="702" t="n"/>
      <c r="R40" s="702" t="n"/>
      <c r="S40" s="455" t="n">
        <v>41</v>
      </c>
      <c r="T40" s="151">
        <f>(L40+15)/25.4</f>
        <v/>
      </c>
      <c r="U40" s="151">
        <f>(M40+15)/25.4</f>
        <v/>
      </c>
      <c r="V40" s="25">
        <f>((T41*U41*P40)/1550)/1000</f>
        <v/>
      </c>
      <c r="W40" s="25">
        <f>V40*S41</f>
        <v/>
      </c>
      <c r="X40" s="25">
        <f>(V40*3%)</f>
        <v/>
      </c>
      <c r="Y40" s="25">
        <f>X40*S40</f>
        <v/>
      </c>
      <c r="Z40" s="25">
        <f>W40+Y40</f>
        <v/>
      </c>
      <c r="AA40" s="25" t="n">
        <v>6.85</v>
      </c>
      <c r="AB40" s="25">
        <f>(V40+X40)*AA40</f>
        <v/>
      </c>
      <c r="AC40" s="650">
        <f>0.5/2</f>
        <v/>
      </c>
      <c r="AD40" s="650" t="n">
        <v>0</v>
      </c>
      <c r="AE40" s="650" t="n">
        <v>0</v>
      </c>
      <c r="AF40" s="650">
        <f>AB40+AC40+AD40+AE40</f>
        <v/>
      </c>
      <c r="AG40" s="650">
        <f>0.1/2</f>
        <v/>
      </c>
      <c r="AH40" s="650">
        <f>(Z40+AF40+AG40)*10%</f>
        <v/>
      </c>
      <c r="AI40" s="650" t="n">
        <v>0</v>
      </c>
      <c r="AJ40" s="864">
        <f>Z40+AF40+AG40+AH40-AI40</f>
        <v/>
      </c>
      <c r="AK40" s="505">
        <f>AJ40+AJ41+AJ42</f>
        <v/>
      </c>
    </row>
    <row r="41">
      <c r="A41" s="706" t="n">
        <v>12</v>
      </c>
      <c r="B41" s="299" t="n">
        <v>46266</v>
      </c>
      <c r="C41" s="706" t="inlineStr">
        <is>
          <t>SKE</t>
        </is>
      </c>
      <c r="D41" s="706" t="n"/>
      <c r="E41" s="1026" t="inlineStr">
        <is>
          <t>INLAY 2D - 2 Ply A-Flute 240 GSM</t>
        </is>
      </c>
      <c r="F41" s="706" t="inlineStr">
        <is>
          <t>A</t>
        </is>
      </c>
      <c r="G41" s="706" t="n">
        <v>0</v>
      </c>
      <c r="H41" s="706" t="inlineStr">
        <is>
          <t>2 Ply</t>
        </is>
      </c>
      <c r="I41" s="706" t="inlineStr">
        <is>
          <t>KEL</t>
        </is>
      </c>
      <c r="J41" s="706" t="n"/>
      <c r="K41" s="706" t="inlineStr">
        <is>
          <t>Inlay</t>
        </is>
      </c>
      <c r="L41" s="300" t="n"/>
      <c r="M41" s="300" t="n"/>
      <c r="N41" s="513" t="n"/>
      <c r="O41" s="717" t="inlineStr">
        <is>
          <t>Semi Kraft</t>
        </is>
      </c>
      <c r="P41" s="702" t="n">
        <v>120</v>
      </c>
      <c r="Q41" s="702" t="n"/>
      <c r="R41" s="702" t="n"/>
      <c r="S41" s="455" t="n">
        <v>41</v>
      </c>
      <c r="T41" s="372">
        <f>IF(MOD(ROUNDUP(T40,0),2)=1,ROUNDUP(T40,0)+1,ROUNDUP(T40,0))</f>
        <v/>
      </c>
      <c r="U41" s="372">
        <f>CEILING($U40,0.5)</f>
        <v/>
      </c>
      <c r="V41" s="25">
        <f>((T41*U41*P41*1.55)/1550)/1000</f>
        <v/>
      </c>
      <c r="W41" s="25">
        <f>V41*S41</f>
        <v/>
      </c>
      <c r="X41" s="25">
        <f>(V41*3%)</f>
        <v/>
      </c>
      <c r="Y41" s="25">
        <f>X41*S41</f>
        <v/>
      </c>
      <c r="Z41" s="25">
        <f>W41+Y41</f>
        <v/>
      </c>
      <c r="AA41" s="25" t="n">
        <v>6.85</v>
      </c>
      <c r="AB41" s="25">
        <f>(V41+X41)*AA41</f>
        <v/>
      </c>
      <c r="AC41" s="650">
        <f>0.5/2</f>
        <v/>
      </c>
      <c r="AD41" s="650" t="n">
        <v>0</v>
      </c>
      <c r="AE41" s="650" t="n">
        <v>0</v>
      </c>
      <c r="AF41" s="650">
        <f>AB41+AC41+AD41+AE41</f>
        <v/>
      </c>
      <c r="AG41" s="650">
        <f>0.1/2</f>
        <v/>
      </c>
      <c r="AH41" s="650">
        <f>(Z41+AF41+AG41)*10%</f>
        <v/>
      </c>
      <c r="AI41" s="650" t="n">
        <v>0</v>
      </c>
      <c r="AJ41" s="864">
        <f>Z41+AF41+AG41+AH41-AI41</f>
        <v/>
      </c>
      <c r="AK41" s="505" t="inlineStr">
        <is>
          <t>ok</t>
        </is>
      </c>
    </row>
    <row r="42">
      <c r="A42" s="706" t="n">
        <v>12</v>
      </c>
      <c r="B42" s="299" t="n">
        <v>46266</v>
      </c>
      <c r="C42" s="706" t="inlineStr">
        <is>
          <t>SKE</t>
        </is>
      </c>
      <c r="D42" s="706" t="n"/>
      <c r="E42" s="1026" t="inlineStr">
        <is>
          <t>INLAY 2D - 2 Ply A-Flute 240 GSM</t>
        </is>
      </c>
      <c r="F42" s="706" t="inlineStr">
        <is>
          <t>A</t>
        </is>
      </c>
      <c r="G42" s="706" t="n">
        <v>0</v>
      </c>
      <c r="H42" s="706" t="inlineStr">
        <is>
          <t>2 Ply</t>
        </is>
      </c>
      <c r="I42" s="706" t="inlineStr">
        <is>
          <t>KEL</t>
        </is>
      </c>
      <c r="J42" s="706" t="n"/>
      <c r="K42" s="706" t="inlineStr">
        <is>
          <t>Inlay</t>
        </is>
      </c>
      <c r="L42" s="300" t="n"/>
      <c r="M42" s="300" t="n"/>
      <c r="N42" s="513" t="n"/>
      <c r="O42" s="717" t="n"/>
      <c r="P42" s="702" t="n"/>
      <c r="Q42" s="702" t="n"/>
      <c r="R42" s="702" t="n"/>
      <c r="S42" s="702" t="n"/>
      <c r="T42" s="17" t="n">
        <v>0</v>
      </c>
      <c r="U42" s="17" t="n">
        <v>0</v>
      </c>
      <c r="V42" s="17" t="n">
        <v>0</v>
      </c>
      <c r="W42" s="17" t="n">
        <v>0</v>
      </c>
      <c r="X42" s="17" t="n">
        <v>0</v>
      </c>
      <c r="Y42" s="17" t="n">
        <v>0</v>
      </c>
      <c r="Z42" s="17" t="n">
        <v>0</v>
      </c>
      <c r="AA42" s="17" t="n">
        <v>0</v>
      </c>
      <c r="AB42" s="17" t="n">
        <v>0</v>
      </c>
      <c r="AC42" s="17" t="n">
        <v>0</v>
      </c>
      <c r="AD42" s="650" t="n">
        <v>0</v>
      </c>
      <c r="AE42" s="650" t="n">
        <v>0</v>
      </c>
      <c r="AF42" s="650">
        <f>AB42+AC42+AD42+AE42</f>
        <v/>
      </c>
      <c r="AG42" s="650" t="n">
        <v>0</v>
      </c>
      <c r="AH42" s="650">
        <f>(Z42+AF42+AG42)*10%</f>
        <v/>
      </c>
      <c r="AI42" s="650" t="n">
        <v>0</v>
      </c>
      <c r="AJ42" s="864">
        <f>Z42+AF42+AG42+AH42-AI42</f>
        <v/>
      </c>
      <c r="AK42" s="505" t="n"/>
    </row>
    <row r="43">
      <c r="A43" s="706" t="n">
        <v>13</v>
      </c>
      <c r="B43" s="299" t="n">
        <v>46266</v>
      </c>
      <c r="C43" s="706" t="inlineStr">
        <is>
          <t>SKE</t>
        </is>
      </c>
      <c r="D43" s="706" t="n"/>
      <c r="E43" s="1026" t="inlineStr">
        <is>
          <t>INLAY 2D- 3 Ply 560 GSM</t>
        </is>
      </c>
      <c r="F43" s="706" t="inlineStr">
        <is>
          <t>B</t>
        </is>
      </c>
      <c r="G43" s="706" t="n">
        <v>0</v>
      </c>
      <c r="H43" s="706" t="inlineStr">
        <is>
          <t>3 Ply</t>
        </is>
      </c>
      <c r="I43" s="706" t="inlineStr">
        <is>
          <t>KEL</t>
        </is>
      </c>
      <c r="J43" s="706" t="n"/>
      <c r="K43" s="706" t="inlineStr">
        <is>
          <t>Inlay</t>
        </is>
      </c>
      <c r="L43" s="300" t="n">
        <v>100</v>
      </c>
      <c r="M43" s="300" t="n">
        <v>100</v>
      </c>
      <c r="N43" s="309" t="n"/>
      <c r="O43" s="16" t="inlineStr">
        <is>
          <t>Virgin Kraft</t>
        </is>
      </c>
      <c r="P43" s="17" t="n">
        <v>230</v>
      </c>
      <c r="Q43" s="17" t="n"/>
      <c r="R43" s="17" t="n"/>
      <c r="S43" s="455" t="n">
        <v>43</v>
      </c>
      <c r="T43" s="150">
        <f>(M43+15)/25.4</f>
        <v/>
      </c>
      <c r="U43" s="150">
        <f>(L43+15)/25.4</f>
        <v/>
      </c>
      <c r="V43" s="903">
        <f>((T44*U44*P43)/1550)/1000</f>
        <v/>
      </c>
      <c r="W43" s="903">
        <f>V43*S43</f>
        <v/>
      </c>
      <c r="X43" s="903">
        <f>(V43*3%)</f>
        <v/>
      </c>
      <c r="Y43" s="903">
        <f>X43*S43</f>
        <v/>
      </c>
      <c r="Z43" s="903">
        <f>W43+Y43</f>
        <v/>
      </c>
      <c r="AA43" s="903" t="n">
        <v>6.85</v>
      </c>
      <c r="AB43" s="903">
        <f>(V43+X43)*AA43</f>
        <v/>
      </c>
      <c r="AC43" s="650">
        <f>0.5/3</f>
        <v/>
      </c>
      <c r="AD43" s="650" t="n">
        <v>0</v>
      </c>
      <c r="AE43" s="650" t="n">
        <v>0</v>
      </c>
      <c r="AF43" s="650">
        <f>AB43+AC43+AD43+AE43</f>
        <v/>
      </c>
      <c r="AG43" s="650">
        <f>0.1/3</f>
        <v/>
      </c>
      <c r="AH43" s="650">
        <f>(Z43+AF43+AG43)*10%</f>
        <v/>
      </c>
      <c r="AI43" s="650" t="n">
        <v>0</v>
      </c>
      <c r="AJ43" s="864">
        <f>Z43+AF43+AG43+AH43-AI43</f>
        <v/>
      </c>
      <c r="AK43" s="505">
        <f>AJ43+AJ44+AJ45</f>
        <v/>
      </c>
    </row>
    <row r="44">
      <c r="A44" s="706" t="n">
        <v>13</v>
      </c>
      <c r="B44" s="299" t="n">
        <v>46266</v>
      </c>
      <c r="C44" s="706" t="inlineStr">
        <is>
          <t>SKE</t>
        </is>
      </c>
      <c r="D44" s="706" t="n"/>
      <c r="E44" s="1026" t="inlineStr">
        <is>
          <t>INLAY 2D- 3 Ply 560 GSM</t>
        </is>
      </c>
      <c r="F44" s="706" t="inlineStr">
        <is>
          <t>B</t>
        </is>
      </c>
      <c r="G44" s="706" t="n">
        <v>0</v>
      </c>
      <c r="H44" s="706" t="inlineStr">
        <is>
          <t>3 Ply</t>
        </is>
      </c>
      <c r="I44" s="706" t="inlineStr">
        <is>
          <t>KEL</t>
        </is>
      </c>
      <c r="J44" s="706" t="n"/>
      <c r="K44" s="706" t="inlineStr">
        <is>
          <t>Inlay</t>
        </is>
      </c>
      <c r="L44" s="300" t="n"/>
      <c r="M44" s="300" t="n"/>
      <c r="N44" s="309" t="n"/>
      <c r="O44" s="16" t="inlineStr">
        <is>
          <t>Semi Kraft</t>
        </is>
      </c>
      <c r="P44" s="17" t="n">
        <v>150</v>
      </c>
      <c r="Q44" s="17" t="n"/>
      <c r="R44" s="17" t="n"/>
      <c r="S44" s="455" t="n">
        <v>41</v>
      </c>
      <c r="T44" s="61">
        <f>ROUNDUP($T43,0)+0.2</f>
        <v/>
      </c>
      <c r="U44" s="61">
        <f>ROUNDUP($U43,0)+0.3</f>
        <v/>
      </c>
      <c r="V44" s="903">
        <f>((T44*U44*P44*1.45)/1550)/1000</f>
        <v/>
      </c>
      <c r="W44" s="903">
        <f>V44*S44</f>
        <v/>
      </c>
      <c r="X44" s="903">
        <f>(V44*3%)</f>
        <v/>
      </c>
      <c r="Y44" s="903">
        <f>X44*S44</f>
        <v/>
      </c>
      <c r="Z44" s="903">
        <f>W44+Y44</f>
        <v/>
      </c>
      <c r="AA44" s="903" t="n">
        <v>6.85</v>
      </c>
      <c r="AB44" s="903">
        <f>(V44+X44)*AA44</f>
        <v/>
      </c>
      <c r="AC44" s="650">
        <f>0.5/3</f>
        <v/>
      </c>
      <c r="AD44" s="650" t="n">
        <v>0</v>
      </c>
      <c r="AE44" s="650" t="n">
        <v>0</v>
      </c>
      <c r="AF44" s="650">
        <f>AB44+AC44+AD44+AE44</f>
        <v/>
      </c>
      <c r="AG44" s="650">
        <f>0.1/3</f>
        <v/>
      </c>
      <c r="AH44" s="650">
        <f>(Z44+AF44+AG44)*10%</f>
        <v/>
      </c>
      <c r="AI44" s="650" t="n">
        <v>0</v>
      </c>
      <c r="AJ44" s="864">
        <f>Z44+AF44+AG44+AH44-AI44</f>
        <v/>
      </c>
      <c r="AK44" s="505" t="inlineStr">
        <is>
          <t>ok</t>
        </is>
      </c>
    </row>
    <row r="45">
      <c r="A45" s="706" t="n">
        <v>13</v>
      </c>
      <c r="B45" s="299" t="n">
        <v>46266</v>
      </c>
      <c r="C45" s="706" t="inlineStr">
        <is>
          <t>SKE</t>
        </is>
      </c>
      <c r="D45" s="706" t="n"/>
      <c r="E45" s="1026" t="inlineStr">
        <is>
          <t>INLAY 2D- 3 Ply 560 GSM</t>
        </is>
      </c>
      <c r="F45" s="706" t="inlineStr">
        <is>
          <t>B</t>
        </is>
      </c>
      <c r="G45" s="706" t="n">
        <v>0</v>
      </c>
      <c r="H45" s="706" t="inlineStr">
        <is>
          <t>3 Ply</t>
        </is>
      </c>
      <c r="I45" s="706" t="inlineStr">
        <is>
          <t>KEL</t>
        </is>
      </c>
      <c r="J45" s="706" t="n"/>
      <c r="K45" s="706" t="inlineStr">
        <is>
          <t>Inlay</t>
        </is>
      </c>
      <c r="L45" s="300" t="n"/>
      <c r="M45" s="300" t="n"/>
      <c r="N45" s="309" t="n"/>
      <c r="O45" s="16" t="inlineStr">
        <is>
          <t>Virgin Kraft</t>
        </is>
      </c>
      <c r="P45" s="17" t="n">
        <v>180</v>
      </c>
      <c r="Q45" s="17" t="n"/>
      <c r="R45" s="17" t="n"/>
      <c r="S45" s="455" t="n">
        <v>43</v>
      </c>
      <c r="T45" s="61">
        <f>T44</f>
        <v/>
      </c>
      <c r="U45" s="61">
        <f>U44</f>
        <v/>
      </c>
      <c r="V45" s="903">
        <f>((T45*U45*P45)/1550)/1000</f>
        <v/>
      </c>
      <c r="W45" s="903">
        <f>V45*S45</f>
        <v/>
      </c>
      <c r="X45" s="903">
        <f>(V45*3%)</f>
        <v/>
      </c>
      <c r="Y45" s="903">
        <f>X45*S45</f>
        <v/>
      </c>
      <c r="Z45" s="903">
        <f>W45+Y45</f>
        <v/>
      </c>
      <c r="AA45" s="903" t="n">
        <v>6.85</v>
      </c>
      <c r="AB45" s="903">
        <f>(V45+X45)*AA45</f>
        <v/>
      </c>
      <c r="AC45" s="650">
        <f>0.5/3</f>
        <v/>
      </c>
      <c r="AD45" s="650" t="n">
        <v>0</v>
      </c>
      <c r="AE45" s="650" t="n">
        <v>0</v>
      </c>
      <c r="AF45" s="650">
        <f>AB45+AC45+AD45+AE45</f>
        <v/>
      </c>
      <c r="AG45" s="650">
        <f>0.1/3</f>
        <v/>
      </c>
      <c r="AH45" s="650">
        <f>(Z45+AF45+AG45)*10%</f>
        <v/>
      </c>
      <c r="AI45" s="650" t="n">
        <v>0</v>
      </c>
      <c r="AJ45" s="864">
        <f>Z45+AF45+AG45+AH45-AI45</f>
        <v/>
      </c>
      <c r="AK45" s="505" t="n"/>
    </row>
    <row r="46" ht="15" customHeight="1">
      <c r="A46" s="706" t="n">
        <v>14</v>
      </c>
      <c r="B46" s="299" t="n">
        <v>46266</v>
      </c>
      <c r="C46" s="706" t="inlineStr">
        <is>
          <t>SKE</t>
        </is>
      </c>
      <c r="D46" s="706" t="n"/>
      <c r="E46" s="1027" t="inlineStr">
        <is>
          <t>HSC Master Box Universal - 3 Ply &lt; 300 mm 560 GSM</t>
        </is>
      </c>
      <c r="F46" s="706" t="inlineStr">
        <is>
          <t>B</t>
        </is>
      </c>
      <c r="G46" s="706" t="n">
        <v>0</v>
      </c>
      <c r="H46" s="706" t="inlineStr">
        <is>
          <t>3 Ply</t>
        </is>
      </c>
      <c r="I46" s="706" t="inlineStr">
        <is>
          <t>KEL &amp; HSC</t>
        </is>
      </c>
      <c r="J46" s="706" t="inlineStr">
        <is>
          <t>&lt; 300 mm</t>
        </is>
      </c>
      <c r="K46" s="706" t="inlineStr">
        <is>
          <t>U</t>
        </is>
      </c>
      <c r="L46" s="300" t="n">
        <v>100</v>
      </c>
      <c r="M46" s="300" t="n">
        <v>100</v>
      </c>
      <c r="N46" s="301" t="n">
        <v>100</v>
      </c>
      <c r="O46" s="16" t="inlineStr">
        <is>
          <t>Virgin Kraft</t>
        </is>
      </c>
      <c r="P46" s="17" t="n">
        <v>230</v>
      </c>
      <c r="Q46" s="17" t="n"/>
      <c r="R46" s="17" t="n"/>
      <c r="S46" s="455" t="n">
        <v>43</v>
      </c>
      <c r="T46" s="150">
        <f>((M46/2)+(N46+10))/25.4</f>
        <v/>
      </c>
      <c r="U46" s="150">
        <f>((L46+M46)*2+55)/25.4</f>
        <v/>
      </c>
      <c r="V46" s="903">
        <f>((T47*U47*P46)/1550)/1000</f>
        <v/>
      </c>
      <c r="W46" s="903">
        <f>V46*S46</f>
        <v/>
      </c>
      <c r="X46" s="903">
        <f>(V46*3%)</f>
        <v/>
      </c>
      <c r="Y46" s="903">
        <f>X46*S46</f>
        <v/>
      </c>
      <c r="Z46" s="903">
        <f>W46+Y46</f>
        <v/>
      </c>
      <c r="AA46" s="903" t="n">
        <v>6.85</v>
      </c>
      <c r="AB46" s="903">
        <f>(V46+X46)*AA46</f>
        <v/>
      </c>
      <c r="AC46" s="650">
        <f>1/3</f>
        <v/>
      </c>
      <c r="AD46" s="650" t="n">
        <v>0</v>
      </c>
      <c r="AE46" s="650" t="n">
        <v>0</v>
      </c>
      <c r="AF46" s="650">
        <f>AB46+AC46+AD46+AE46</f>
        <v/>
      </c>
      <c r="AG46" s="650">
        <f>0.1/3</f>
        <v/>
      </c>
      <c r="AH46" s="650">
        <f>(Z46+AF46+AG46)*10%</f>
        <v/>
      </c>
      <c r="AI46" s="650" t="n">
        <v>0</v>
      </c>
      <c r="AJ46" s="864">
        <f>Z46+AF46+AG46+AH46-AI46</f>
        <v/>
      </c>
      <c r="AK46" s="527">
        <f>AJ46+AJ47+AJ48</f>
        <v/>
      </c>
    </row>
    <row r="47">
      <c r="A47" s="706" t="n">
        <v>14</v>
      </c>
      <c r="B47" s="299" t="n">
        <v>46266</v>
      </c>
      <c r="C47" s="706" t="inlineStr">
        <is>
          <t>SKE</t>
        </is>
      </c>
      <c r="D47" s="706" t="n"/>
      <c r="E47" s="1027" t="inlineStr">
        <is>
          <t>HSC Master Box Universal - 3 Ply &lt; 300 mm 560 GSM</t>
        </is>
      </c>
      <c r="F47" s="706" t="inlineStr">
        <is>
          <t>B</t>
        </is>
      </c>
      <c r="G47" s="706" t="n">
        <v>0</v>
      </c>
      <c r="H47" s="706" t="inlineStr">
        <is>
          <t>3 Ply</t>
        </is>
      </c>
      <c r="I47" s="706" t="inlineStr">
        <is>
          <t>KEL &amp; HSC</t>
        </is>
      </c>
      <c r="J47" s="706" t="inlineStr">
        <is>
          <t>&lt; 300 mm</t>
        </is>
      </c>
      <c r="K47" s="706" t="inlineStr">
        <is>
          <t>U</t>
        </is>
      </c>
      <c r="L47" s="300" t="n"/>
      <c r="M47" s="300" t="n"/>
      <c r="N47" s="301" t="n"/>
      <c r="O47" s="16" t="inlineStr">
        <is>
          <t>Semi Kraft</t>
        </is>
      </c>
      <c r="P47" s="17" t="n">
        <v>150</v>
      </c>
      <c r="Q47" s="17" t="n"/>
      <c r="R47" s="17" t="n"/>
      <c r="S47" s="455" t="n">
        <v>41</v>
      </c>
      <c r="T47" s="61">
        <f>ROUNDUP($T46,0)+0.2</f>
        <v/>
      </c>
      <c r="U47" s="61">
        <f>ROUNDUP($U46,0)+0.3</f>
        <v/>
      </c>
      <c r="V47" s="903">
        <f>((T47*U47*P47*1.45)/1550)/1000</f>
        <v/>
      </c>
      <c r="W47" s="903">
        <f>V47*S47</f>
        <v/>
      </c>
      <c r="X47" s="903">
        <f>(V47*3%)</f>
        <v/>
      </c>
      <c r="Y47" s="903">
        <f>X47*S47</f>
        <v/>
      </c>
      <c r="Z47" s="903">
        <f>W47+Y47</f>
        <v/>
      </c>
      <c r="AA47" s="903" t="n">
        <v>6.85</v>
      </c>
      <c r="AB47" s="903">
        <f>(V47+X47)*AA47</f>
        <v/>
      </c>
      <c r="AC47" s="650">
        <f>1/3</f>
        <v/>
      </c>
      <c r="AD47" s="650" t="n">
        <v>0</v>
      </c>
      <c r="AE47" s="650" t="n">
        <v>0</v>
      </c>
      <c r="AF47" s="650">
        <f>AB47+AC47+AD47+AE47</f>
        <v/>
      </c>
      <c r="AG47" s="650">
        <f>0.1/3</f>
        <v/>
      </c>
      <c r="AH47" s="650">
        <f>(Z47+AF47+AG47)*10%</f>
        <v/>
      </c>
      <c r="AI47" s="650" t="n">
        <v>0</v>
      </c>
      <c r="AJ47" s="864">
        <f>Z47+AF47+AG47+AH47-AI47</f>
        <v/>
      </c>
      <c r="AK47" s="505" t="inlineStr">
        <is>
          <t>ok</t>
        </is>
      </c>
    </row>
    <row r="48">
      <c r="A48" s="706" t="n">
        <v>14</v>
      </c>
      <c r="B48" s="299" t="n">
        <v>46266</v>
      </c>
      <c r="C48" s="706" t="inlineStr">
        <is>
          <t>SKE</t>
        </is>
      </c>
      <c r="D48" s="706" t="n"/>
      <c r="E48" s="1027" t="inlineStr">
        <is>
          <t>HSC Master Box Universal - 3 Ply &lt; 300 mm 560 GSM</t>
        </is>
      </c>
      <c r="F48" s="706" t="inlineStr">
        <is>
          <t>B</t>
        </is>
      </c>
      <c r="G48" s="706" t="n">
        <v>0</v>
      </c>
      <c r="H48" s="706" t="inlineStr">
        <is>
          <t>3 Ply</t>
        </is>
      </c>
      <c r="I48" s="706" t="inlineStr">
        <is>
          <t>KEL &amp; HSC</t>
        </is>
      </c>
      <c r="J48" s="706" t="inlineStr">
        <is>
          <t>&lt; 300 mm</t>
        </is>
      </c>
      <c r="K48" s="706" t="inlineStr">
        <is>
          <t>U</t>
        </is>
      </c>
      <c r="L48" s="300" t="n"/>
      <c r="M48" s="300" t="n"/>
      <c r="N48" s="301" t="n"/>
      <c r="O48" s="16" t="inlineStr">
        <is>
          <t>Virgin Kraft</t>
        </is>
      </c>
      <c r="P48" s="17" t="n">
        <v>180</v>
      </c>
      <c r="Q48" s="17" t="n"/>
      <c r="R48" s="17" t="n"/>
      <c r="S48" s="455" t="n">
        <v>43</v>
      </c>
      <c r="T48" s="61">
        <f>T47</f>
        <v/>
      </c>
      <c r="U48" s="61">
        <f>U47</f>
        <v/>
      </c>
      <c r="V48" s="903">
        <f>((T48*U48*P48)/1550)/1000</f>
        <v/>
      </c>
      <c r="W48" s="903">
        <f>V48*S48</f>
        <v/>
      </c>
      <c r="X48" s="903">
        <f>(V48*3%)</f>
        <v/>
      </c>
      <c r="Y48" s="903">
        <f>X48*S48</f>
        <v/>
      </c>
      <c r="Z48" s="903">
        <f>W48+Y48</f>
        <v/>
      </c>
      <c r="AA48" s="903" t="n">
        <v>6.85</v>
      </c>
      <c r="AB48" s="903">
        <f>(V48+X48)*AA48</f>
        <v/>
      </c>
      <c r="AC48" s="650">
        <f>1/3</f>
        <v/>
      </c>
      <c r="AD48" s="650" t="n">
        <v>0</v>
      </c>
      <c r="AE48" s="650" t="n">
        <v>0</v>
      </c>
      <c r="AF48" s="650">
        <f>AB48+AC48+AD48+AE48</f>
        <v/>
      </c>
      <c r="AG48" s="650">
        <f>0.1/3</f>
        <v/>
      </c>
      <c r="AH48" s="650">
        <f>(Z48+AF48+AG48)*10%</f>
        <v/>
      </c>
      <c r="AI48" s="650" t="n">
        <v>0</v>
      </c>
      <c r="AJ48" s="864">
        <f>Z48+AF48+AG48+AH48-AI48</f>
        <v/>
      </c>
      <c r="AK48" s="505" t="n"/>
    </row>
    <row r="49" ht="15" customHeight="1">
      <c r="A49" s="706" t="n">
        <v>15</v>
      </c>
      <c r="B49" s="299" t="n">
        <v>46266</v>
      </c>
      <c r="C49" s="706" t="inlineStr">
        <is>
          <t>SKE</t>
        </is>
      </c>
      <c r="D49" s="706" t="n"/>
      <c r="E49" s="1027" t="inlineStr">
        <is>
          <t>HSC Master Box Universal - 5 Ply &lt; 300 mm 890 GSM</t>
        </is>
      </c>
      <c r="F49" s="706" t="inlineStr">
        <is>
          <t>B</t>
        </is>
      </c>
      <c r="G49" s="706" t="n">
        <v>0</v>
      </c>
      <c r="H49" s="706" t="inlineStr">
        <is>
          <t>5 Ply</t>
        </is>
      </c>
      <c r="I49" s="706" t="inlineStr">
        <is>
          <t>KEL &amp; HSC</t>
        </is>
      </c>
      <c r="J49" s="706" t="inlineStr">
        <is>
          <t>&lt; 300 mm</t>
        </is>
      </c>
      <c r="K49" s="706" t="inlineStr">
        <is>
          <t>U</t>
        </is>
      </c>
      <c r="L49" s="300" t="n">
        <v>100</v>
      </c>
      <c r="M49" s="300" t="n">
        <v>100</v>
      </c>
      <c r="N49" s="301" t="n">
        <v>100</v>
      </c>
      <c r="O49" s="16" t="inlineStr">
        <is>
          <t>Virgin Kraft</t>
        </is>
      </c>
      <c r="P49" s="17" t="n">
        <v>230</v>
      </c>
      <c r="Q49" s="17" t="n"/>
      <c r="R49" s="17" t="n"/>
      <c r="S49" s="455" t="n">
        <v>43</v>
      </c>
      <c r="T49" s="150">
        <f>((M49/2)+(N49+10))/25.4</f>
        <v/>
      </c>
      <c r="U49" s="150">
        <f>((L49+M49)*2+55)/25.4</f>
        <v/>
      </c>
      <c r="V49" s="903">
        <f>((T50*U50*P49)/1550)/1000</f>
        <v/>
      </c>
      <c r="W49" s="903">
        <f>V49*S49</f>
        <v/>
      </c>
      <c r="X49" s="903">
        <f>(V49*3%)</f>
        <v/>
      </c>
      <c r="Y49" s="903">
        <f>X49*S49</f>
        <v/>
      </c>
      <c r="Z49" s="903">
        <f>W49+Y49</f>
        <v/>
      </c>
      <c r="AA49" s="903" t="n">
        <v>6.85</v>
      </c>
      <c r="AB49" s="903">
        <f>(V49+X49)*AA49</f>
        <v/>
      </c>
      <c r="AC49" s="650">
        <f>1/3</f>
        <v/>
      </c>
      <c r="AD49" s="650" t="n">
        <v>0</v>
      </c>
      <c r="AE49" s="650" t="n">
        <v>0</v>
      </c>
      <c r="AF49" s="650">
        <f>AB49+AC49+AD49+AE49</f>
        <v/>
      </c>
      <c r="AG49" s="650">
        <f>0.1/3</f>
        <v/>
      </c>
      <c r="AH49" s="650">
        <f>(Z49+AF49+AG49)*10%</f>
        <v/>
      </c>
      <c r="AI49" s="650" t="n">
        <v>0</v>
      </c>
      <c r="AJ49" s="864">
        <f>Z49+AF49+AG49+AH49-AI49</f>
        <v/>
      </c>
      <c r="AK49" s="527">
        <f>AJ49+AJ50+AJ51</f>
        <v/>
      </c>
    </row>
    <row r="50">
      <c r="A50" s="706" t="n">
        <v>15</v>
      </c>
      <c r="B50" s="299" t="n">
        <v>46266</v>
      </c>
      <c r="C50" s="706" t="inlineStr">
        <is>
          <t>SKE</t>
        </is>
      </c>
      <c r="D50" s="706" t="n"/>
      <c r="E50" s="1027" t="inlineStr">
        <is>
          <t>HSC Master Box Universal - 5 Ply &lt; 300 mm 890 GSM</t>
        </is>
      </c>
      <c r="F50" s="706" t="inlineStr">
        <is>
          <t>B</t>
        </is>
      </c>
      <c r="G50" s="706" t="n">
        <v>0</v>
      </c>
      <c r="H50" s="706" t="inlineStr">
        <is>
          <t>5 Ply</t>
        </is>
      </c>
      <c r="I50" s="706" t="inlineStr">
        <is>
          <t>KEL &amp; HSC</t>
        </is>
      </c>
      <c r="J50" s="706" t="inlineStr">
        <is>
          <t>&lt; 300 mm</t>
        </is>
      </c>
      <c r="K50" s="706" t="inlineStr">
        <is>
          <t>U</t>
        </is>
      </c>
      <c r="L50" s="300" t="n"/>
      <c r="M50" s="300" t="n"/>
      <c r="N50" s="301" t="n"/>
      <c r="O50" s="16" t="inlineStr">
        <is>
          <t>Semi Kraft</t>
        </is>
      </c>
      <c r="P50" s="17" t="n">
        <v>150</v>
      </c>
      <c r="Q50" s="17" t="n"/>
      <c r="R50" s="17" t="n"/>
      <c r="S50" s="455" t="n">
        <v>41</v>
      </c>
      <c r="T50" s="61">
        <f>ROUNDUP($T49,0)+0.2</f>
        <v/>
      </c>
      <c r="U50" s="61">
        <f>ROUNDUP($U49,0)+0.3</f>
        <v/>
      </c>
      <c r="V50" s="903">
        <f>((T50*U50*P50*1.45)*2/1550)/1000</f>
        <v/>
      </c>
      <c r="W50" s="903">
        <f>V50*S50</f>
        <v/>
      </c>
      <c r="X50" s="903">
        <f>(V50*3%)</f>
        <v/>
      </c>
      <c r="Y50" s="903">
        <f>X50*S50</f>
        <v/>
      </c>
      <c r="Z50" s="903">
        <f>W50+Y50</f>
        <v/>
      </c>
      <c r="AA50" s="903" t="n">
        <v>6.85</v>
      </c>
      <c r="AB50" s="903">
        <f>(V50+X50)*AA50</f>
        <v/>
      </c>
      <c r="AC50" s="650">
        <f>1/3</f>
        <v/>
      </c>
      <c r="AD50" s="650" t="n">
        <v>0</v>
      </c>
      <c r="AE50" s="650" t="n">
        <v>0</v>
      </c>
      <c r="AF50" s="650">
        <f>AB50+AC50+AD50+AE50</f>
        <v/>
      </c>
      <c r="AG50" s="650">
        <f>0.1/3</f>
        <v/>
      </c>
      <c r="AH50" s="650">
        <f>(Z50+AF50+AG50)*10%</f>
        <v/>
      </c>
      <c r="AI50" s="650" t="n">
        <v>0</v>
      </c>
      <c r="AJ50" s="864">
        <f>Z50+AF50+AG50+AH50-AI50</f>
        <v/>
      </c>
      <c r="AK50" s="505" t="inlineStr">
        <is>
          <t>ok</t>
        </is>
      </c>
    </row>
    <row r="51">
      <c r="A51" s="706" t="n">
        <v>15</v>
      </c>
      <c r="B51" s="299" t="n">
        <v>46266</v>
      </c>
      <c r="C51" s="706" t="inlineStr">
        <is>
          <t>SKE</t>
        </is>
      </c>
      <c r="D51" s="706" t="n"/>
      <c r="E51" s="1027" t="inlineStr">
        <is>
          <t>HSC Master Box Universal - 5 Ply &lt; 300 mm 890 GSM</t>
        </is>
      </c>
      <c r="F51" s="706" t="inlineStr">
        <is>
          <t>B</t>
        </is>
      </c>
      <c r="G51" s="706" t="n">
        <v>0</v>
      </c>
      <c r="H51" s="706" t="inlineStr">
        <is>
          <t>5 Ply</t>
        </is>
      </c>
      <c r="I51" s="706" t="inlineStr">
        <is>
          <t>KEL &amp; HSC</t>
        </is>
      </c>
      <c r="J51" s="706" t="inlineStr">
        <is>
          <t>&lt; 300 mm</t>
        </is>
      </c>
      <c r="K51" s="706" t="inlineStr">
        <is>
          <t>U</t>
        </is>
      </c>
      <c r="L51" s="300" t="n"/>
      <c r="M51" s="300" t="n"/>
      <c r="N51" s="301" t="n"/>
      <c r="O51" s="16" t="inlineStr">
        <is>
          <t>Virgin Kraft</t>
        </is>
      </c>
      <c r="P51" s="17" t="n">
        <v>180</v>
      </c>
      <c r="Q51" s="17" t="n"/>
      <c r="R51" s="17" t="n"/>
      <c r="S51" s="455" t="n">
        <v>43</v>
      </c>
      <c r="T51" s="61">
        <f>T50</f>
        <v/>
      </c>
      <c r="U51" s="61">
        <f>U50</f>
        <v/>
      </c>
      <c r="V51" s="903">
        <f>((T51*U51*P51)*2/1550)/1000</f>
        <v/>
      </c>
      <c r="W51" s="903">
        <f>V51*S51</f>
        <v/>
      </c>
      <c r="X51" s="903">
        <f>(V51*3%)</f>
        <v/>
      </c>
      <c r="Y51" s="903">
        <f>X51*S51</f>
        <v/>
      </c>
      <c r="Z51" s="903">
        <f>W51+Y51</f>
        <v/>
      </c>
      <c r="AA51" s="903" t="n">
        <v>6.85</v>
      </c>
      <c r="AB51" s="903">
        <f>(V51+X51)*AA51</f>
        <v/>
      </c>
      <c r="AC51" s="650">
        <f>1/3</f>
        <v/>
      </c>
      <c r="AD51" s="650" t="n">
        <v>0</v>
      </c>
      <c r="AE51" s="650" t="n">
        <v>0</v>
      </c>
      <c r="AF51" s="650">
        <f>AB51+AC51+AD51+AE51</f>
        <v/>
      </c>
      <c r="AG51" s="650">
        <f>0.1/3</f>
        <v/>
      </c>
      <c r="AH51" s="650">
        <f>(Z51+AF51+AG51)*10%</f>
        <v/>
      </c>
      <c r="AI51" s="650" t="n">
        <v>0</v>
      </c>
      <c r="AJ51" s="864">
        <f>Z51+AF51+AG51+AH51-AI51</f>
        <v/>
      </c>
      <c r="AK51" s="505" t="n"/>
    </row>
    <row r="52" ht="16.5" customHeight="1">
      <c r="A52" s="706" t="n">
        <v>16</v>
      </c>
      <c r="B52" s="299" t="n">
        <v>46266</v>
      </c>
      <c r="C52" s="706" t="inlineStr">
        <is>
          <t>SKE</t>
        </is>
      </c>
      <c r="D52" s="706" t="n"/>
      <c r="E52" s="1027" t="inlineStr">
        <is>
          <t>INLAY 2D- 3 Ply - 420 GSM</t>
        </is>
      </c>
      <c r="F52" s="706" t="inlineStr">
        <is>
          <t>B</t>
        </is>
      </c>
      <c r="G52" s="706" t="n">
        <v>0</v>
      </c>
      <c r="H52" s="706" t="inlineStr">
        <is>
          <t>3 Ply</t>
        </is>
      </c>
      <c r="I52" s="706" t="inlineStr">
        <is>
          <t>KEL &amp; 420 GSM</t>
        </is>
      </c>
      <c r="J52" s="706" t="n"/>
      <c r="K52" s="706" t="inlineStr">
        <is>
          <t>Inlay</t>
        </is>
      </c>
      <c r="L52" s="300" t="n">
        <v>100</v>
      </c>
      <c r="M52" s="300" t="n">
        <v>100</v>
      </c>
      <c r="N52" s="309" t="n"/>
      <c r="O52" s="16" t="inlineStr">
        <is>
          <t>Virgin Kraft</t>
        </is>
      </c>
      <c r="P52" s="17" t="n">
        <v>180</v>
      </c>
      <c r="Q52" s="17" t="n"/>
      <c r="R52" s="17" t="n"/>
      <c r="S52" s="455" t="n">
        <v>43</v>
      </c>
      <c r="T52" s="150">
        <f>(L52+15)/25.4</f>
        <v/>
      </c>
      <c r="U52" s="150">
        <f>(M52+15)/25.4</f>
        <v/>
      </c>
      <c r="V52" s="903">
        <f>((T53*U53*P52)/1550)/1000</f>
        <v/>
      </c>
      <c r="W52" s="903">
        <f>V52*S52</f>
        <v/>
      </c>
      <c r="X52" s="903">
        <f>(V52*3%)</f>
        <v/>
      </c>
      <c r="Y52" s="903">
        <f>X52*S52</f>
        <v/>
      </c>
      <c r="Z52" s="903">
        <f>W52+Y52</f>
        <v/>
      </c>
      <c r="AA52" s="903" t="n">
        <v>6.85</v>
      </c>
      <c r="AB52" s="903">
        <f>(V52+X52)*AA52</f>
        <v/>
      </c>
      <c r="AC52" s="650">
        <f>0.5/3</f>
        <v/>
      </c>
      <c r="AD52" s="650" t="n">
        <v>0</v>
      </c>
      <c r="AE52" s="650" t="n">
        <v>0</v>
      </c>
      <c r="AF52" s="650">
        <f>AB52+AC52+AD52+AE52</f>
        <v/>
      </c>
      <c r="AG52" s="650">
        <f>0.1/3</f>
        <v/>
      </c>
      <c r="AH52" s="650">
        <f>(Z52+AF52+AG52)*10%</f>
        <v/>
      </c>
      <c r="AI52" s="650" t="n">
        <v>0</v>
      </c>
      <c r="AJ52" s="864">
        <f>Z52+AF52+AG52+AH52-AI52</f>
        <v/>
      </c>
      <c r="AK52" s="505">
        <f>AJ52+AJ53+AJ54</f>
        <v/>
      </c>
    </row>
    <row r="53">
      <c r="A53" s="706" t="n">
        <v>16</v>
      </c>
      <c r="B53" s="299" t="n">
        <v>46266</v>
      </c>
      <c r="C53" s="706" t="inlineStr">
        <is>
          <t>SKE</t>
        </is>
      </c>
      <c r="D53" s="706" t="n"/>
      <c r="E53" s="1027" t="inlineStr">
        <is>
          <t>INLAY 2D- 3 Ply - 420 GSM</t>
        </is>
      </c>
      <c r="F53" s="706" t="inlineStr">
        <is>
          <t>B</t>
        </is>
      </c>
      <c r="G53" s="706" t="n">
        <v>0</v>
      </c>
      <c r="H53" s="706" t="inlineStr">
        <is>
          <t>3 Ply</t>
        </is>
      </c>
      <c r="I53" s="706" t="inlineStr">
        <is>
          <t>KEL &amp; 420 GSM</t>
        </is>
      </c>
      <c r="J53" s="706" t="n"/>
      <c r="K53" s="706" t="inlineStr">
        <is>
          <t>Inlay</t>
        </is>
      </c>
      <c r="L53" s="300" t="n"/>
      <c r="M53" s="300" t="n"/>
      <c r="N53" s="309" t="n"/>
      <c r="O53" s="16" t="inlineStr">
        <is>
          <t>Semi Kraft</t>
        </is>
      </c>
      <c r="P53" s="17" t="n">
        <v>120</v>
      </c>
      <c r="Q53" s="17" t="n"/>
      <c r="R53" s="17" t="n"/>
      <c r="S53" s="455" t="n">
        <v>41</v>
      </c>
      <c r="T53" s="293">
        <f>IF(MOD(ROUNDUP(T52,0),2)=1,ROUNDUP(T52,0)+1,ROUNDUP(T52,0))</f>
        <v/>
      </c>
      <c r="U53" s="293">
        <f>CEILING($U52,0.5)</f>
        <v/>
      </c>
      <c r="V53" s="903">
        <f>((T53*U53*P53*1.45)/1550)/1000</f>
        <v/>
      </c>
      <c r="W53" s="903">
        <f>V53*S53</f>
        <v/>
      </c>
      <c r="X53" s="903">
        <f>(V53*3%)</f>
        <v/>
      </c>
      <c r="Y53" s="903">
        <f>X53*S53</f>
        <v/>
      </c>
      <c r="Z53" s="903">
        <f>W53+Y53</f>
        <v/>
      </c>
      <c r="AA53" s="903" t="n">
        <v>6.85</v>
      </c>
      <c r="AB53" s="903">
        <f>(V53+X53)*AA53</f>
        <v/>
      </c>
      <c r="AC53" s="650">
        <f>0.5/3</f>
        <v/>
      </c>
      <c r="AD53" s="650" t="n">
        <v>0</v>
      </c>
      <c r="AE53" s="650" t="n">
        <v>0</v>
      </c>
      <c r="AF53" s="650">
        <f>AB53+AC53+AD53+AE53</f>
        <v/>
      </c>
      <c r="AG53" s="650">
        <f>0.1/3</f>
        <v/>
      </c>
      <c r="AH53" s="650">
        <f>(Z53+AF53+AG53)*10%</f>
        <v/>
      </c>
      <c r="AI53" s="650" t="n">
        <v>0</v>
      </c>
      <c r="AJ53" s="864">
        <f>Z53+AF53+AG53+AH53-AI53</f>
        <v/>
      </c>
      <c r="AK53" s="505" t="inlineStr">
        <is>
          <t>ok</t>
        </is>
      </c>
    </row>
    <row r="54">
      <c r="A54" s="706" t="n">
        <v>16</v>
      </c>
      <c r="B54" s="299" t="n">
        <v>46266</v>
      </c>
      <c r="C54" s="706" t="inlineStr">
        <is>
          <t>SKE</t>
        </is>
      </c>
      <c r="D54" s="706" t="n"/>
      <c r="E54" s="1027" t="inlineStr">
        <is>
          <t>INLAY 2D- 3 Ply - 420 GSM</t>
        </is>
      </c>
      <c r="F54" s="706" t="inlineStr">
        <is>
          <t>B</t>
        </is>
      </c>
      <c r="G54" s="706" t="n">
        <v>0</v>
      </c>
      <c r="H54" s="706" t="inlineStr">
        <is>
          <t>3 Ply</t>
        </is>
      </c>
      <c r="I54" s="706" t="inlineStr">
        <is>
          <t>KEL &amp; 420 GSM</t>
        </is>
      </c>
      <c r="J54" s="706" t="n"/>
      <c r="K54" s="706" t="inlineStr">
        <is>
          <t>Inlay</t>
        </is>
      </c>
      <c r="L54" s="300" t="n"/>
      <c r="M54" s="300" t="n"/>
      <c r="N54" s="309" t="n"/>
      <c r="O54" s="16" t="inlineStr">
        <is>
          <t>Virgin Kraft</t>
        </is>
      </c>
      <c r="P54" s="17" t="n">
        <v>120</v>
      </c>
      <c r="Q54" s="17" t="n"/>
      <c r="R54" s="17" t="n"/>
      <c r="S54" s="455" t="n">
        <v>43</v>
      </c>
      <c r="T54" s="61">
        <f>T53</f>
        <v/>
      </c>
      <c r="U54" s="61">
        <f>U53</f>
        <v/>
      </c>
      <c r="V54" s="903">
        <f>((T54*U54*P54)/1550)/1000</f>
        <v/>
      </c>
      <c r="W54" s="903">
        <f>V54*S54</f>
        <v/>
      </c>
      <c r="X54" s="903">
        <f>(V54*3%)</f>
        <v/>
      </c>
      <c r="Y54" s="903">
        <f>X54*S54</f>
        <v/>
      </c>
      <c r="Z54" s="903">
        <f>W54+Y54</f>
        <v/>
      </c>
      <c r="AA54" s="903" t="n">
        <v>6.85</v>
      </c>
      <c r="AB54" s="903">
        <f>(V54+X54)*AA54</f>
        <v/>
      </c>
      <c r="AC54" s="650">
        <f>0.5/3</f>
        <v/>
      </c>
      <c r="AD54" s="650" t="n">
        <v>0</v>
      </c>
      <c r="AE54" s="650" t="n">
        <v>0</v>
      </c>
      <c r="AF54" s="650">
        <f>AB54+AC54+AD54+AE54</f>
        <v/>
      </c>
      <c r="AG54" s="650">
        <f>0.1/3</f>
        <v/>
      </c>
      <c r="AH54" s="650">
        <f>(Z54+AF54+AG54)*10%</f>
        <v/>
      </c>
      <c r="AI54" s="650" t="n">
        <v>0</v>
      </c>
      <c r="AJ54" s="864">
        <f>Z54+AF54+AG54+AH54-AI54</f>
        <v/>
      </c>
      <c r="AK54" s="505" t="n"/>
    </row>
    <row r="55" ht="16.5" customHeight="1">
      <c r="A55" s="706" t="n">
        <v>17</v>
      </c>
      <c r="B55" s="299" t="n">
        <v>46266</v>
      </c>
      <c r="C55" s="706" t="inlineStr">
        <is>
          <t>SKE</t>
        </is>
      </c>
      <c r="D55" s="706" t="n"/>
      <c r="E55" s="1027" t="inlineStr">
        <is>
          <t>INLAY 2D- 5 Ply - 660 GSM</t>
        </is>
      </c>
      <c r="F55" s="706" t="inlineStr">
        <is>
          <t>B</t>
        </is>
      </c>
      <c r="G55" s="706" t="n">
        <v>0</v>
      </c>
      <c r="H55" s="706" t="inlineStr">
        <is>
          <t>5 Ply</t>
        </is>
      </c>
      <c r="I55" s="706" t="inlineStr">
        <is>
          <t>KEL &amp; 420 GSM</t>
        </is>
      </c>
      <c r="J55" s="706" t="n"/>
      <c r="K55" s="706" t="inlineStr">
        <is>
          <t>Inlay</t>
        </is>
      </c>
      <c r="L55" s="300" t="n">
        <v>100</v>
      </c>
      <c r="M55" s="300" t="n">
        <v>100</v>
      </c>
      <c r="N55" s="309" t="n"/>
      <c r="O55" s="16" t="inlineStr">
        <is>
          <t>Virgin Kraft</t>
        </is>
      </c>
      <c r="P55" s="17" t="n">
        <v>180</v>
      </c>
      <c r="Q55" s="17" t="n"/>
      <c r="R55" s="17" t="n"/>
      <c r="S55" s="455" t="n">
        <v>43</v>
      </c>
      <c r="T55" s="150">
        <f>(L55+15)/25.4</f>
        <v/>
      </c>
      <c r="U55" s="150">
        <f>(M55+15)/25.4</f>
        <v/>
      </c>
      <c r="V55" s="903">
        <f>((T56*U56*P55)/1550)/1000</f>
        <v/>
      </c>
      <c r="W55" s="903">
        <f>V55*S55</f>
        <v/>
      </c>
      <c r="X55" s="903">
        <f>(V55*3%)</f>
        <v/>
      </c>
      <c r="Y55" s="903">
        <f>X55*S55</f>
        <v/>
      </c>
      <c r="Z55" s="903">
        <f>W55+Y55</f>
        <v/>
      </c>
      <c r="AA55" s="903" t="n">
        <v>6.85</v>
      </c>
      <c r="AB55" s="903">
        <f>(V55+X55)*AA55</f>
        <v/>
      </c>
      <c r="AC55" s="650">
        <f>0.5/3</f>
        <v/>
      </c>
      <c r="AD55" s="650" t="n">
        <v>0</v>
      </c>
      <c r="AE55" s="650" t="n">
        <v>0</v>
      </c>
      <c r="AF55" s="650">
        <f>AB55+AC55+AD55+AE55</f>
        <v/>
      </c>
      <c r="AG55" s="650">
        <f>0.1/3</f>
        <v/>
      </c>
      <c r="AH55" s="650">
        <f>(Z55+AF55+AG55)*10%</f>
        <v/>
      </c>
      <c r="AI55" s="650" t="n">
        <v>0</v>
      </c>
      <c r="AJ55" s="864">
        <f>Z55+AF55+AG55+AH55-AI55</f>
        <v/>
      </c>
      <c r="AK55" s="527">
        <f>AJ55+AJ56+AJ57</f>
        <v/>
      </c>
    </row>
    <row r="56">
      <c r="A56" s="706" t="n">
        <v>17</v>
      </c>
      <c r="B56" s="299" t="n">
        <v>46266</v>
      </c>
      <c r="C56" s="706" t="inlineStr">
        <is>
          <t>SKE</t>
        </is>
      </c>
      <c r="D56" s="706" t="n"/>
      <c r="E56" s="1027" t="inlineStr">
        <is>
          <t>INLAY 2D- 5 Ply - 660 GSM</t>
        </is>
      </c>
      <c r="F56" s="706" t="inlineStr">
        <is>
          <t>B</t>
        </is>
      </c>
      <c r="G56" s="706" t="n">
        <v>0</v>
      </c>
      <c r="H56" s="706" t="inlineStr">
        <is>
          <t>5 Ply</t>
        </is>
      </c>
      <c r="I56" s="706" t="inlineStr">
        <is>
          <t>KEL &amp; 420 GSM</t>
        </is>
      </c>
      <c r="J56" s="706" t="n"/>
      <c r="K56" s="706" t="inlineStr">
        <is>
          <t>Inlay</t>
        </is>
      </c>
      <c r="L56" s="300" t="n"/>
      <c r="M56" s="300" t="n"/>
      <c r="N56" s="309" t="n"/>
      <c r="O56" s="16" t="inlineStr">
        <is>
          <t>Semi Kraft</t>
        </is>
      </c>
      <c r="P56" s="17" t="n">
        <v>120</v>
      </c>
      <c r="Q56" s="17" t="n"/>
      <c r="R56" s="17" t="n"/>
      <c r="S56" s="455" t="n">
        <v>41</v>
      </c>
      <c r="T56" s="293">
        <f>IF(MOD(ROUNDUP(T55,0),2)=1,ROUNDUP(T55,0)+1,ROUNDUP(T55,0))</f>
        <v/>
      </c>
      <c r="U56" s="293">
        <f>CEILING($U55,0.5)</f>
        <v/>
      </c>
      <c r="V56" s="903">
        <f>((T56*U56*P56*1.45)*2/1550)/1000</f>
        <v/>
      </c>
      <c r="W56" s="903">
        <f>V56*S56</f>
        <v/>
      </c>
      <c r="X56" s="903">
        <f>(V56*3%)</f>
        <v/>
      </c>
      <c r="Y56" s="903">
        <f>X56*S56</f>
        <v/>
      </c>
      <c r="Z56" s="903">
        <f>W56+Y56</f>
        <v/>
      </c>
      <c r="AA56" s="903" t="n">
        <v>6.85</v>
      </c>
      <c r="AB56" s="903">
        <f>(V56+X56)*AA56</f>
        <v/>
      </c>
      <c r="AC56" s="650">
        <f>0.5/3</f>
        <v/>
      </c>
      <c r="AD56" s="650" t="n">
        <v>0</v>
      </c>
      <c r="AE56" s="650" t="n">
        <v>0</v>
      </c>
      <c r="AF56" s="650">
        <f>AB56+AC56+AD56+AE56</f>
        <v/>
      </c>
      <c r="AG56" s="650">
        <f>0.1/3</f>
        <v/>
      </c>
      <c r="AH56" s="650">
        <f>(Z56+AF56+AG56)*10%</f>
        <v/>
      </c>
      <c r="AI56" s="650" t="n">
        <v>0</v>
      </c>
      <c r="AJ56" s="864">
        <f>Z56+AF56+AG56+AH56-AI56</f>
        <v/>
      </c>
      <c r="AK56" s="505" t="inlineStr">
        <is>
          <t>ok</t>
        </is>
      </c>
    </row>
    <row r="57">
      <c r="A57" s="706" t="n">
        <v>17</v>
      </c>
      <c r="B57" s="299" t="n">
        <v>46266</v>
      </c>
      <c r="C57" s="706" t="inlineStr">
        <is>
          <t>SKE</t>
        </is>
      </c>
      <c r="D57" s="706" t="n"/>
      <c r="E57" s="1027" t="inlineStr">
        <is>
          <t>INLAY 2D- 5 Ply - 660 GSM</t>
        </is>
      </c>
      <c r="F57" s="706" t="inlineStr">
        <is>
          <t>B</t>
        </is>
      </c>
      <c r="G57" s="706" t="n">
        <v>0</v>
      </c>
      <c r="H57" s="706" t="inlineStr">
        <is>
          <t>5 Ply</t>
        </is>
      </c>
      <c r="I57" s="706" t="inlineStr">
        <is>
          <t>KEL &amp; 420 GSM</t>
        </is>
      </c>
      <c r="J57" s="706" t="n"/>
      <c r="K57" s="706" t="inlineStr">
        <is>
          <t>Inlay</t>
        </is>
      </c>
      <c r="L57" s="300" t="n"/>
      <c r="M57" s="300" t="n"/>
      <c r="N57" s="309" t="n"/>
      <c r="O57" s="16" t="inlineStr">
        <is>
          <t>Virgin Kraft</t>
        </is>
      </c>
      <c r="P57" s="17" t="n">
        <v>120</v>
      </c>
      <c r="Q57" s="17" t="n"/>
      <c r="R57" s="17" t="n"/>
      <c r="S57" s="455" t="n">
        <v>43</v>
      </c>
      <c r="T57" s="61">
        <f>T56</f>
        <v/>
      </c>
      <c r="U57" s="61">
        <f>U56</f>
        <v/>
      </c>
      <c r="V57" s="903">
        <f>((T57*U57*P57)/1550)*2/1000</f>
        <v/>
      </c>
      <c r="W57" s="903">
        <f>V57*S57</f>
        <v/>
      </c>
      <c r="X57" s="903">
        <f>(V57*3%)</f>
        <v/>
      </c>
      <c r="Y57" s="903">
        <f>X57*S57</f>
        <v/>
      </c>
      <c r="Z57" s="903">
        <f>W57+Y57</f>
        <v/>
      </c>
      <c r="AA57" s="903" t="n">
        <v>6.85</v>
      </c>
      <c r="AB57" s="903">
        <f>(V57+X57)*AA57</f>
        <v/>
      </c>
      <c r="AC57" s="650">
        <f>0.5/3</f>
        <v/>
      </c>
      <c r="AD57" s="650" t="n">
        <v>0</v>
      </c>
      <c r="AE57" s="650" t="n">
        <v>0</v>
      </c>
      <c r="AF57" s="650">
        <f>AB57+AC57+AD57+AE57</f>
        <v/>
      </c>
      <c r="AG57" s="650">
        <f>0.1/3</f>
        <v/>
      </c>
      <c r="AH57" s="650">
        <f>(Z57+AF57+AG57)*10%</f>
        <v/>
      </c>
      <c r="AI57" s="650" t="n">
        <v>0</v>
      </c>
      <c r="AJ57" s="864">
        <f>Z57+AF57+AG57+AH57-AI57</f>
        <v/>
      </c>
      <c r="AK57" s="505" t="n"/>
    </row>
    <row r="58" ht="16.5" customHeight="1">
      <c r="A58" s="706" t="n">
        <v>18</v>
      </c>
      <c r="B58" s="299" t="n">
        <v>46266</v>
      </c>
      <c r="C58" s="706" t="inlineStr">
        <is>
          <t>SKE</t>
        </is>
      </c>
      <c r="D58" s="706" t="n"/>
      <c r="E58" s="1027" t="inlineStr">
        <is>
          <t>INLAY 2D- 3 Ply - 460 GSM</t>
        </is>
      </c>
      <c r="F58" s="706" t="inlineStr">
        <is>
          <t>B</t>
        </is>
      </c>
      <c r="G58" s="706" t="n">
        <v>0</v>
      </c>
      <c r="H58" s="706" t="inlineStr">
        <is>
          <t>3 Ply</t>
        </is>
      </c>
      <c r="I58" s="706" t="inlineStr">
        <is>
          <t>KEL &amp; 460 GSM</t>
        </is>
      </c>
      <c r="J58" s="706" t="n"/>
      <c r="K58" s="706" t="inlineStr">
        <is>
          <t>Inlay</t>
        </is>
      </c>
      <c r="L58" s="300" t="n">
        <v>100</v>
      </c>
      <c r="M58" s="300" t="n">
        <v>100</v>
      </c>
      <c r="N58" s="309" t="n"/>
      <c r="O58" s="16" t="inlineStr">
        <is>
          <t>Virgin Kraft</t>
        </is>
      </c>
      <c r="P58" s="17" t="n">
        <v>230</v>
      </c>
      <c r="Q58" s="17" t="n"/>
      <c r="R58" s="17" t="n"/>
      <c r="S58" s="455" t="n">
        <v>43</v>
      </c>
      <c r="T58" s="150">
        <f>(L58+15)/25.4</f>
        <v/>
      </c>
      <c r="U58" s="150">
        <f>(M58+15)/25.4</f>
        <v/>
      </c>
      <c r="V58" s="903">
        <f>((T59*U59*P58)/1550)/1000</f>
        <v/>
      </c>
      <c r="W58" s="903">
        <f>V58*S58</f>
        <v/>
      </c>
      <c r="X58" s="903">
        <f>(V58*3%)</f>
        <v/>
      </c>
      <c r="Y58" s="903">
        <f>X58*S58</f>
        <v/>
      </c>
      <c r="Z58" s="903">
        <f>W58+Y58</f>
        <v/>
      </c>
      <c r="AA58" s="903" t="n">
        <v>6.85</v>
      </c>
      <c r="AB58" s="903">
        <f>(V58+X58)*AA58</f>
        <v/>
      </c>
      <c r="AC58" s="650">
        <f>0.5/3</f>
        <v/>
      </c>
      <c r="AD58" s="650" t="n">
        <v>0</v>
      </c>
      <c r="AE58" s="650" t="n">
        <v>0</v>
      </c>
      <c r="AF58" s="650">
        <f>AB58+AC58+AD58+AE58</f>
        <v/>
      </c>
      <c r="AG58" s="650">
        <f>0.1/3</f>
        <v/>
      </c>
      <c r="AH58" s="650">
        <f>(Z58+AF58+AG58)*10%</f>
        <v/>
      </c>
      <c r="AI58" s="650" t="n">
        <v>0</v>
      </c>
      <c r="AJ58" s="864">
        <f>Z58+AF58+AG58+AH58-AI58</f>
        <v/>
      </c>
      <c r="AK58" s="527">
        <f>AJ58+AJ59+AJ60</f>
        <v/>
      </c>
    </row>
    <row r="59">
      <c r="A59" s="706" t="n">
        <v>18</v>
      </c>
      <c r="B59" s="299" t="n">
        <v>46266</v>
      </c>
      <c r="C59" s="706" t="inlineStr">
        <is>
          <t>SKE</t>
        </is>
      </c>
      <c r="D59" s="706" t="n"/>
      <c r="E59" s="1027" t="inlineStr">
        <is>
          <t>INLAY 2D- 3 Ply - 460 GSM</t>
        </is>
      </c>
      <c r="F59" s="706" t="inlineStr">
        <is>
          <t>B</t>
        </is>
      </c>
      <c r="G59" s="706" t="n">
        <v>0</v>
      </c>
      <c r="H59" s="706" t="inlineStr">
        <is>
          <t>3 Ply</t>
        </is>
      </c>
      <c r="I59" s="706" t="inlineStr">
        <is>
          <t>KEL &amp; 460 GSM</t>
        </is>
      </c>
      <c r="J59" s="706" t="n"/>
      <c r="K59" s="706" t="inlineStr">
        <is>
          <t>Inlay</t>
        </is>
      </c>
      <c r="L59" s="300" t="n"/>
      <c r="M59" s="300" t="n"/>
      <c r="N59" s="309" t="n"/>
      <c r="O59" s="16" t="inlineStr">
        <is>
          <t>Semi Kraft</t>
        </is>
      </c>
      <c r="P59" s="17" t="n">
        <v>120</v>
      </c>
      <c r="Q59" s="17" t="n"/>
      <c r="R59" s="17" t="n"/>
      <c r="S59" s="455" t="n">
        <v>41</v>
      </c>
      <c r="T59" s="293">
        <f>IF(MOD(ROUNDUP(T58,0),2)=1,ROUNDUP(T58,0)+1,ROUNDUP(T58,0))</f>
        <v/>
      </c>
      <c r="U59" s="293">
        <f>CEILING($U58,0.5)</f>
        <v/>
      </c>
      <c r="V59" s="903">
        <f>((T59*U59*P59*1.45)/1550)/1000</f>
        <v/>
      </c>
      <c r="W59" s="903">
        <f>V59*S59</f>
        <v/>
      </c>
      <c r="X59" s="903">
        <f>(V59*3%)</f>
        <v/>
      </c>
      <c r="Y59" s="903">
        <f>X59*S59</f>
        <v/>
      </c>
      <c r="Z59" s="903">
        <f>W59+Y59</f>
        <v/>
      </c>
      <c r="AA59" s="903" t="n">
        <v>6.85</v>
      </c>
      <c r="AB59" s="903">
        <f>(V59+X59)*AA59</f>
        <v/>
      </c>
      <c r="AC59" s="650">
        <f>0.5/3</f>
        <v/>
      </c>
      <c r="AD59" s="650" t="n">
        <v>0</v>
      </c>
      <c r="AE59" s="650" t="n">
        <v>0</v>
      </c>
      <c r="AF59" s="650">
        <f>AB59+AC59+AD59+AE59</f>
        <v/>
      </c>
      <c r="AG59" s="650">
        <f>0.1/3</f>
        <v/>
      </c>
      <c r="AH59" s="650">
        <f>(Z59+AF59+AG59)*10%</f>
        <v/>
      </c>
      <c r="AI59" s="650" t="n">
        <v>0</v>
      </c>
      <c r="AJ59" s="864">
        <f>Z59+AF59+AG59+AH59-AI59</f>
        <v/>
      </c>
      <c r="AK59" s="505" t="inlineStr">
        <is>
          <t>ok</t>
        </is>
      </c>
    </row>
    <row r="60">
      <c r="A60" s="706" t="n">
        <v>18</v>
      </c>
      <c r="B60" s="299" t="n">
        <v>46266</v>
      </c>
      <c r="C60" s="706" t="inlineStr">
        <is>
          <t>SKE</t>
        </is>
      </c>
      <c r="D60" s="706" t="n"/>
      <c r="E60" s="1027" t="inlineStr">
        <is>
          <t>INLAY 2D- 3 Ply - 460 GSM</t>
        </is>
      </c>
      <c r="F60" s="706" t="inlineStr">
        <is>
          <t>B</t>
        </is>
      </c>
      <c r="G60" s="706" t="n">
        <v>0</v>
      </c>
      <c r="H60" s="706" t="inlineStr">
        <is>
          <t>3 Ply</t>
        </is>
      </c>
      <c r="I60" s="706" t="inlineStr">
        <is>
          <t>KEL &amp; 460 GSM</t>
        </is>
      </c>
      <c r="J60" s="706" t="n"/>
      <c r="K60" s="706" t="inlineStr">
        <is>
          <t>Inlay</t>
        </is>
      </c>
      <c r="L60" s="300" t="n"/>
      <c r="M60" s="300" t="n"/>
      <c r="N60" s="309" t="n"/>
      <c r="O60" s="16" t="inlineStr">
        <is>
          <t>Virgin Kraft</t>
        </is>
      </c>
      <c r="P60" s="17" t="n">
        <v>120</v>
      </c>
      <c r="Q60" s="17" t="n"/>
      <c r="R60" s="17" t="n"/>
      <c r="S60" s="455" t="n">
        <v>43</v>
      </c>
      <c r="T60" s="61">
        <f>T59</f>
        <v/>
      </c>
      <c r="U60" s="61">
        <f>U59</f>
        <v/>
      </c>
      <c r="V60" s="903">
        <f>((T60*U60*P60)/1550)/1000</f>
        <v/>
      </c>
      <c r="W60" s="903">
        <f>V60*S60</f>
        <v/>
      </c>
      <c r="X60" s="903">
        <f>(V60*3%)</f>
        <v/>
      </c>
      <c r="Y60" s="903">
        <f>X60*S60</f>
        <v/>
      </c>
      <c r="Z60" s="903">
        <f>W60+Y60</f>
        <v/>
      </c>
      <c r="AA60" s="903" t="n">
        <v>6.85</v>
      </c>
      <c r="AB60" s="903">
        <f>(V60+X60)*AA60</f>
        <v/>
      </c>
      <c r="AC60" s="650">
        <f>0.5/3</f>
        <v/>
      </c>
      <c r="AD60" s="650" t="n">
        <v>0</v>
      </c>
      <c r="AE60" s="650" t="n">
        <v>0</v>
      </c>
      <c r="AF60" s="650">
        <f>AB60+AC60+AD60+AE60</f>
        <v/>
      </c>
      <c r="AG60" s="650">
        <f>0.1/3</f>
        <v/>
      </c>
      <c r="AH60" s="650">
        <f>(Z60+AF60+AG60)*10%</f>
        <v/>
      </c>
      <c r="AI60" s="650" t="n">
        <v>0</v>
      </c>
      <c r="AJ60" s="864">
        <f>Z60+AF60+AG60+AH60-AI60</f>
        <v/>
      </c>
      <c r="AK60" s="505" t="n"/>
    </row>
    <row r="61" ht="16.5" customHeight="1">
      <c r="A61" s="706" t="n">
        <v>19</v>
      </c>
      <c r="B61" s="299" t="n">
        <v>46266</v>
      </c>
      <c r="C61" s="706" t="inlineStr">
        <is>
          <t>SKE</t>
        </is>
      </c>
      <c r="D61" s="706" t="n"/>
      <c r="E61" s="1027" t="inlineStr">
        <is>
          <t>INLAY 2D- 5 Ply - 710 GSM</t>
        </is>
      </c>
      <c r="F61" s="706" t="inlineStr">
        <is>
          <t>B</t>
        </is>
      </c>
      <c r="G61" s="706" t="n">
        <v>0</v>
      </c>
      <c r="H61" s="706" t="inlineStr">
        <is>
          <t>5 Ply</t>
        </is>
      </c>
      <c r="I61" s="706" t="inlineStr">
        <is>
          <t>KEL &amp; 460 GSM</t>
        </is>
      </c>
      <c r="J61" s="706" t="n"/>
      <c r="K61" s="706" t="inlineStr">
        <is>
          <t>Inlay</t>
        </is>
      </c>
      <c r="L61" s="300" t="n">
        <v>100</v>
      </c>
      <c r="M61" s="300" t="n">
        <v>100</v>
      </c>
      <c r="N61" s="309" t="n"/>
      <c r="O61" s="16" t="inlineStr">
        <is>
          <t>Virgin Kraft</t>
        </is>
      </c>
      <c r="P61" s="17" t="n">
        <v>230</v>
      </c>
      <c r="Q61" s="17" t="n"/>
      <c r="R61" s="17" t="n"/>
      <c r="S61" s="455" t="n">
        <v>43</v>
      </c>
      <c r="T61" s="150">
        <f>(L61+15)/25.4</f>
        <v/>
      </c>
      <c r="U61" s="150">
        <f>(M61+15)/25.4</f>
        <v/>
      </c>
      <c r="V61" s="903">
        <f>((T62*U62*P61)/1550)/1000</f>
        <v/>
      </c>
      <c r="W61" s="903">
        <f>V61*S61</f>
        <v/>
      </c>
      <c r="X61" s="903">
        <f>(V61*3%)</f>
        <v/>
      </c>
      <c r="Y61" s="903">
        <f>X61*S61</f>
        <v/>
      </c>
      <c r="Z61" s="903">
        <f>W61+Y61</f>
        <v/>
      </c>
      <c r="AA61" s="903" t="n">
        <v>6.85</v>
      </c>
      <c r="AB61" s="903">
        <f>(V61+X61)*AA61</f>
        <v/>
      </c>
      <c r="AC61" s="650">
        <f>0.5/3</f>
        <v/>
      </c>
      <c r="AD61" s="650" t="n">
        <v>0</v>
      </c>
      <c r="AE61" s="650" t="n">
        <v>0</v>
      </c>
      <c r="AF61" s="650">
        <f>AB61+AC61+AD61+AE61</f>
        <v/>
      </c>
      <c r="AG61" s="650">
        <f>0.1/3</f>
        <v/>
      </c>
      <c r="AH61" s="650">
        <f>(Z61+AF61+AG61)*10%</f>
        <v/>
      </c>
      <c r="AI61" s="650" t="n">
        <v>0</v>
      </c>
      <c r="AJ61" s="864">
        <f>Z61+AF61+AG61+AH61-AI61</f>
        <v/>
      </c>
      <c r="AK61" s="527">
        <f>AJ61+AJ62+AJ63</f>
        <v/>
      </c>
    </row>
    <row r="62">
      <c r="A62" s="706" t="n">
        <v>19</v>
      </c>
      <c r="B62" s="299" t="n">
        <v>46266</v>
      </c>
      <c r="C62" s="706" t="inlineStr">
        <is>
          <t>SKE</t>
        </is>
      </c>
      <c r="D62" s="706" t="n"/>
      <c r="E62" s="1027" t="inlineStr">
        <is>
          <t>INLAY 2D- 5 Ply - 710 GSM</t>
        </is>
      </c>
      <c r="F62" s="706" t="inlineStr">
        <is>
          <t>B</t>
        </is>
      </c>
      <c r="G62" s="706" t="n">
        <v>0</v>
      </c>
      <c r="H62" s="706" t="inlineStr">
        <is>
          <t>5 Ply</t>
        </is>
      </c>
      <c r="I62" s="706" t="inlineStr">
        <is>
          <t>KEL &amp; 460 GSM</t>
        </is>
      </c>
      <c r="J62" s="706" t="n"/>
      <c r="K62" s="706" t="inlineStr">
        <is>
          <t>Inlay</t>
        </is>
      </c>
      <c r="L62" s="300" t="n"/>
      <c r="M62" s="300" t="n"/>
      <c r="N62" s="309" t="n"/>
      <c r="O62" s="16" t="inlineStr">
        <is>
          <t>Semi Kraft</t>
        </is>
      </c>
      <c r="P62" s="17" t="n">
        <v>120</v>
      </c>
      <c r="Q62" s="17" t="n"/>
      <c r="R62" s="17" t="n"/>
      <c r="S62" s="455" t="n">
        <v>41</v>
      </c>
      <c r="T62" s="293">
        <f>IF(MOD(ROUNDUP(T61,0),2)=1,ROUNDUP(T61,0)+1,ROUNDUP(T61,0))</f>
        <v/>
      </c>
      <c r="U62" s="293">
        <f>CEILING($U61,0.5)</f>
        <v/>
      </c>
      <c r="V62" s="903">
        <f>((T62*U62*P62*1.45)*2/1550)/1000</f>
        <v/>
      </c>
      <c r="W62" s="903">
        <f>V62*S62</f>
        <v/>
      </c>
      <c r="X62" s="903">
        <f>(V62*3%)</f>
        <v/>
      </c>
      <c r="Y62" s="903">
        <f>X62*S62</f>
        <v/>
      </c>
      <c r="Z62" s="903">
        <f>W62+Y62</f>
        <v/>
      </c>
      <c r="AA62" s="903" t="n">
        <v>6.85</v>
      </c>
      <c r="AB62" s="903">
        <f>(V62+X62)*AA62</f>
        <v/>
      </c>
      <c r="AC62" s="650">
        <f>0.5/3</f>
        <v/>
      </c>
      <c r="AD62" s="650" t="n">
        <v>0</v>
      </c>
      <c r="AE62" s="650" t="n">
        <v>0</v>
      </c>
      <c r="AF62" s="650">
        <f>AB62+AC62+AD62+AE62</f>
        <v/>
      </c>
      <c r="AG62" s="650">
        <f>0.1/3</f>
        <v/>
      </c>
      <c r="AH62" s="650">
        <f>(Z62+AF62+AG62)*10%</f>
        <v/>
      </c>
      <c r="AI62" s="650" t="n">
        <v>0</v>
      </c>
      <c r="AJ62" s="864">
        <f>Z62+AF62+AG62+AH62-AI62</f>
        <v/>
      </c>
      <c r="AK62" s="505" t="inlineStr">
        <is>
          <t>ok</t>
        </is>
      </c>
    </row>
    <row r="63">
      <c r="A63" s="706" t="n">
        <v>19</v>
      </c>
      <c r="B63" s="299" t="n">
        <v>46266</v>
      </c>
      <c r="C63" s="706" t="inlineStr">
        <is>
          <t>SKE</t>
        </is>
      </c>
      <c r="D63" s="706" t="n"/>
      <c r="E63" s="1027" t="inlineStr">
        <is>
          <t>INLAY 2D- 5 Ply - 710 GSM</t>
        </is>
      </c>
      <c r="F63" s="706" t="inlineStr">
        <is>
          <t>B</t>
        </is>
      </c>
      <c r="G63" s="706" t="n">
        <v>0</v>
      </c>
      <c r="H63" s="706" t="inlineStr">
        <is>
          <t>5 Ply</t>
        </is>
      </c>
      <c r="I63" s="706" t="inlineStr">
        <is>
          <t>KEL &amp; 460 GSM</t>
        </is>
      </c>
      <c r="J63" s="706" t="n"/>
      <c r="K63" s="706" t="inlineStr">
        <is>
          <t>Inlay</t>
        </is>
      </c>
      <c r="L63" s="300" t="n"/>
      <c r="M63" s="300" t="n"/>
      <c r="N63" s="309" t="n"/>
      <c r="O63" s="16" t="inlineStr">
        <is>
          <t>Virgin Kraft</t>
        </is>
      </c>
      <c r="P63" s="17" t="n">
        <v>120</v>
      </c>
      <c r="Q63" s="17" t="n"/>
      <c r="R63" s="17" t="n"/>
      <c r="S63" s="455" t="n">
        <v>43</v>
      </c>
      <c r="T63" s="61">
        <f>T62</f>
        <v/>
      </c>
      <c r="U63" s="61">
        <f>U62</f>
        <v/>
      </c>
      <c r="V63" s="903">
        <f>((T63*U63*P63)/1550)*2/1000</f>
        <v/>
      </c>
      <c r="W63" s="903">
        <f>V63*S63</f>
        <v/>
      </c>
      <c r="X63" s="903">
        <f>(V63*3%)</f>
        <v/>
      </c>
      <c r="Y63" s="903">
        <f>X63*S63</f>
        <v/>
      </c>
      <c r="Z63" s="903">
        <f>W63+Y63</f>
        <v/>
      </c>
      <c r="AA63" s="903" t="n">
        <v>6.85</v>
      </c>
      <c r="AB63" s="903">
        <f>(V63+X63)*AA63</f>
        <v/>
      </c>
      <c r="AC63" s="650">
        <f>0.5/3</f>
        <v/>
      </c>
      <c r="AD63" s="650" t="n">
        <v>0</v>
      </c>
      <c r="AE63" s="650" t="n">
        <v>0</v>
      </c>
      <c r="AF63" s="650">
        <f>AB63+AC63+AD63+AE63</f>
        <v/>
      </c>
      <c r="AG63" s="650">
        <f>0.1/3</f>
        <v/>
      </c>
      <c r="AH63" s="650">
        <f>(Z63+AF63+AG63)*10%</f>
        <v/>
      </c>
      <c r="AI63" s="650" t="n">
        <v>0</v>
      </c>
      <c r="AJ63" s="864">
        <f>Z63+AF63+AG63+AH63-AI63</f>
        <v/>
      </c>
      <c r="AK63" s="505" t="n"/>
    </row>
    <row r="64" ht="16.5" customHeight="1">
      <c r="A64" s="706" t="n">
        <v>20</v>
      </c>
      <c r="B64" s="299" t="n">
        <v>46266</v>
      </c>
      <c r="C64" s="706" t="inlineStr">
        <is>
          <t>SKE</t>
        </is>
      </c>
      <c r="D64" s="706" t="n"/>
      <c r="E64" s="1027" t="inlineStr">
        <is>
          <t>INLAY 2D- 3 Ply - 640 GSM</t>
        </is>
      </c>
      <c r="F64" s="706" t="inlineStr">
        <is>
          <t>B</t>
        </is>
      </c>
      <c r="G64" s="706" t="n">
        <v>0</v>
      </c>
      <c r="H64" s="706" t="inlineStr">
        <is>
          <t>3 Ply</t>
        </is>
      </c>
      <c r="I64" s="706" t="inlineStr">
        <is>
          <t>KEL &amp; 640 GSM</t>
        </is>
      </c>
      <c r="J64" s="706" t="n"/>
      <c r="K64" s="706" t="inlineStr">
        <is>
          <t>Inlay</t>
        </is>
      </c>
      <c r="L64" s="300" t="n">
        <v>100</v>
      </c>
      <c r="M64" s="300" t="n">
        <v>100</v>
      </c>
      <c r="N64" s="309" t="n"/>
      <c r="O64" s="16" t="inlineStr">
        <is>
          <t>Virgin Kraft</t>
        </is>
      </c>
      <c r="P64" s="17" t="n">
        <v>230</v>
      </c>
      <c r="Q64" s="17" t="n"/>
      <c r="R64" s="17" t="n"/>
      <c r="S64" s="455" t="n">
        <v>43</v>
      </c>
      <c r="T64" s="150">
        <f>(M64+15)/25.4</f>
        <v/>
      </c>
      <c r="U64" s="150">
        <f>(L64+15)/25.4</f>
        <v/>
      </c>
      <c r="V64" s="903">
        <f>((T65*U65*P64)/1550)/1000</f>
        <v/>
      </c>
      <c r="W64" s="903">
        <f>V64*S64</f>
        <v/>
      </c>
      <c r="X64" s="903">
        <f>(V64*3%)</f>
        <v/>
      </c>
      <c r="Y64" s="903">
        <f>X64*S64</f>
        <v/>
      </c>
      <c r="Z64" s="903">
        <f>W64+Y64</f>
        <v/>
      </c>
      <c r="AA64" s="903" t="n">
        <v>6.85</v>
      </c>
      <c r="AB64" s="903">
        <f>(V64+X64)*AA64</f>
        <v/>
      </c>
      <c r="AC64" s="650">
        <f>0.5/3</f>
        <v/>
      </c>
      <c r="AD64" s="650" t="n">
        <v>0</v>
      </c>
      <c r="AE64" s="650" t="n">
        <v>0</v>
      </c>
      <c r="AF64" s="650">
        <f>AB64+AC64+AD64+AE64</f>
        <v/>
      </c>
      <c r="AG64" s="650">
        <f>0.1/3</f>
        <v/>
      </c>
      <c r="AH64" s="650">
        <f>(Z64+AF64+AG64)*10%</f>
        <v/>
      </c>
      <c r="AI64" s="650" t="n">
        <v>0</v>
      </c>
      <c r="AJ64" s="864">
        <f>Z64+AF64+AG64+AH64-AI64</f>
        <v/>
      </c>
      <c r="AK64" s="505">
        <f>AJ64+AJ65+AJ66</f>
        <v/>
      </c>
    </row>
    <row r="65">
      <c r="A65" s="706" t="n">
        <v>20</v>
      </c>
      <c r="B65" s="299" t="n">
        <v>46266</v>
      </c>
      <c r="C65" s="706" t="inlineStr">
        <is>
          <t>SKE</t>
        </is>
      </c>
      <c r="D65" s="706" t="n"/>
      <c r="E65" s="1027" t="inlineStr">
        <is>
          <t>INLAY 2D- 3 Ply - 640 GSM</t>
        </is>
      </c>
      <c r="F65" s="706" t="inlineStr">
        <is>
          <t>B</t>
        </is>
      </c>
      <c r="G65" s="706" t="n">
        <v>0</v>
      </c>
      <c r="H65" s="706" t="inlineStr">
        <is>
          <t>3 Ply</t>
        </is>
      </c>
      <c r="I65" s="706" t="inlineStr">
        <is>
          <t>KEL &amp; 640 GSM</t>
        </is>
      </c>
      <c r="J65" s="706" t="n"/>
      <c r="K65" s="706" t="inlineStr">
        <is>
          <t>Inlay</t>
        </is>
      </c>
      <c r="L65" s="300" t="n"/>
      <c r="M65" s="300" t="n"/>
      <c r="N65" s="309" t="n"/>
      <c r="O65" s="16" t="inlineStr">
        <is>
          <t>Semi Kraft</t>
        </is>
      </c>
      <c r="P65" s="17" t="n">
        <v>180</v>
      </c>
      <c r="Q65" s="17" t="n"/>
      <c r="R65" s="17" t="n"/>
      <c r="S65" s="455" t="n">
        <v>41</v>
      </c>
      <c r="T65" s="61">
        <f>ROUNDUP($T64,0)+0.2</f>
        <v/>
      </c>
      <c r="U65" s="61">
        <f>ROUNDUP($U64,0)+0.3</f>
        <v/>
      </c>
      <c r="V65" s="903">
        <f>((T65*U65*P65*1.45)/1550)/1000</f>
        <v/>
      </c>
      <c r="W65" s="903">
        <f>V65*S65</f>
        <v/>
      </c>
      <c r="X65" s="903">
        <f>(V65*3%)</f>
        <v/>
      </c>
      <c r="Y65" s="903">
        <f>X65*S65</f>
        <v/>
      </c>
      <c r="Z65" s="903">
        <f>W65+Y65</f>
        <v/>
      </c>
      <c r="AA65" s="903" t="n">
        <v>6.85</v>
      </c>
      <c r="AB65" s="903">
        <f>(V65+X65)*AA65</f>
        <v/>
      </c>
      <c r="AC65" s="650">
        <f>0.5/3</f>
        <v/>
      </c>
      <c r="AD65" s="650" t="n">
        <v>0</v>
      </c>
      <c r="AE65" s="650" t="n">
        <v>0</v>
      </c>
      <c r="AF65" s="650">
        <f>AB65+AC65+AD65+AE65</f>
        <v/>
      </c>
      <c r="AG65" s="650">
        <f>0.1/3</f>
        <v/>
      </c>
      <c r="AH65" s="650">
        <f>(Z65+AF65+AG65)*10%</f>
        <v/>
      </c>
      <c r="AI65" s="650" t="n">
        <v>0</v>
      </c>
      <c r="AJ65" s="864">
        <f>Z65+AF65+AG65+AH65-AI65</f>
        <v/>
      </c>
      <c r="AK65" s="505" t="inlineStr">
        <is>
          <t>ok</t>
        </is>
      </c>
    </row>
    <row r="66">
      <c r="A66" s="706" t="n">
        <v>20</v>
      </c>
      <c r="B66" s="299" t="n">
        <v>46266</v>
      </c>
      <c r="C66" s="706" t="inlineStr">
        <is>
          <t>SKE</t>
        </is>
      </c>
      <c r="D66" s="706" t="n"/>
      <c r="E66" s="1027" t="inlineStr">
        <is>
          <t>INLAY 2D- 3 Ply - 640 GSM</t>
        </is>
      </c>
      <c r="F66" s="706" t="inlineStr">
        <is>
          <t>B</t>
        </is>
      </c>
      <c r="G66" s="706" t="n">
        <v>0</v>
      </c>
      <c r="H66" s="706" t="inlineStr">
        <is>
          <t>3 Ply</t>
        </is>
      </c>
      <c r="I66" s="706" t="inlineStr">
        <is>
          <t>KEL &amp; 640 GSM</t>
        </is>
      </c>
      <c r="J66" s="706" t="n"/>
      <c r="K66" s="706" t="inlineStr">
        <is>
          <t>Inlay</t>
        </is>
      </c>
      <c r="L66" s="300" t="n"/>
      <c r="M66" s="300" t="n"/>
      <c r="N66" s="309" t="n"/>
      <c r="O66" s="16" t="inlineStr">
        <is>
          <t>Virgin Kraft</t>
        </is>
      </c>
      <c r="P66" s="17" t="n">
        <v>230</v>
      </c>
      <c r="Q66" s="17" t="n"/>
      <c r="R66" s="17" t="n"/>
      <c r="S66" s="455" t="n">
        <v>43</v>
      </c>
      <c r="T66" s="61">
        <f>T65</f>
        <v/>
      </c>
      <c r="U66" s="61">
        <f>U65</f>
        <v/>
      </c>
      <c r="V66" s="903">
        <f>((T66*U66*P66)/1550)/1000</f>
        <v/>
      </c>
      <c r="W66" s="903">
        <f>V66*S66</f>
        <v/>
      </c>
      <c r="X66" s="903">
        <f>(V66*3%)</f>
        <v/>
      </c>
      <c r="Y66" s="903">
        <f>X66*S66</f>
        <v/>
      </c>
      <c r="Z66" s="903">
        <f>W66+Y66</f>
        <v/>
      </c>
      <c r="AA66" s="903" t="n">
        <v>6.85</v>
      </c>
      <c r="AB66" s="903">
        <f>(V66+X66)*AA66</f>
        <v/>
      </c>
      <c r="AC66" s="650">
        <f>0.5/3</f>
        <v/>
      </c>
      <c r="AD66" s="650" t="n">
        <v>0</v>
      </c>
      <c r="AE66" s="650" t="n">
        <v>0</v>
      </c>
      <c r="AF66" s="650">
        <f>AB66+AC66+AD66+AE66</f>
        <v/>
      </c>
      <c r="AG66" s="650">
        <f>0.1/3</f>
        <v/>
      </c>
      <c r="AH66" s="650">
        <f>(Z66+AF66+AG66)*10%</f>
        <v/>
      </c>
      <c r="AI66" s="650" t="n">
        <v>0</v>
      </c>
      <c r="AJ66" s="864">
        <f>Z66+AF66+AG66+AH66-AI66</f>
        <v/>
      </c>
      <c r="AK66" s="505" t="n"/>
    </row>
    <row r="67" ht="16.5" customHeight="1">
      <c r="A67" s="706" t="n">
        <v>21</v>
      </c>
      <c r="B67" s="299" t="n">
        <v>46266</v>
      </c>
      <c r="C67" s="706" t="inlineStr">
        <is>
          <t>SKE</t>
        </is>
      </c>
      <c r="D67" s="706" t="n"/>
      <c r="E67" s="1027" t="inlineStr">
        <is>
          <t>INLAY 2D- 5 Ply - 1050 GSM</t>
        </is>
      </c>
      <c r="F67" s="706" t="inlineStr">
        <is>
          <t>B</t>
        </is>
      </c>
      <c r="G67" s="706" t="n">
        <v>0</v>
      </c>
      <c r="H67" s="706" t="inlineStr">
        <is>
          <t>5 Ply</t>
        </is>
      </c>
      <c r="I67" s="706" t="inlineStr">
        <is>
          <t>KEL &amp; 640 GSM</t>
        </is>
      </c>
      <c r="J67" s="706" t="n"/>
      <c r="K67" s="706" t="inlineStr">
        <is>
          <t>Inlay</t>
        </is>
      </c>
      <c r="L67" s="300" t="n">
        <v>100</v>
      </c>
      <c r="M67" s="300" t="n">
        <v>100</v>
      </c>
      <c r="N67" s="309" t="n"/>
      <c r="O67" s="16" t="inlineStr">
        <is>
          <t>Virgin Kraft</t>
        </is>
      </c>
      <c r="P67" s="17" t="n">
        <v>230</v>
      </c>
      <c r="Q67" s="17" t="n"/>
      <c r="R67" s="17" t="n"/>
      <c r="S67" s="455" t="n">
        <v>43</v>
      </c>
      <c r="T67" s="150">
        <f>(M67+15)/25.4</f>
        <v/>
      </c>
      <c r="U67" s="150">
        <f>(L67+15)/25.4</f>
        <v/>
      </c>
      <c r="V67" s="903">
        <f>((T68*U68*P67)/1550)/1000</f>
        <v/>
      </c>
      <c r="W67" s="903">
        <f>V67*S67</f>
        <v/>
      </c>
      <c r="X67" s="903">
        <f>(V67*3%)</f>
        <v/>
      </c>
      <c r="Y67" s="903">
        <f>X67*S67</f>
        <v/>
      </c>
      <c r="Z67" s="903">
        <f>W67+Y67</f>
        <v/>
      </c>
      <c r="AA67" s="903" t="n">
        <v>6.85</v>
      </c>
      <c r="AB67" s="903">
        <f>(V67+X67)*AA67</f>
        <v/>
      </c>
      <c r="AC67" s="650">
        <f>0.5/3</f>
        <v/>
      </c>
      <c r="AD67" s="650" t="n">
        <v>0</v>
      </c>
      <c r="AE67" s="650" t="n">
        <v>0</v>
      </c>
      <c r="AF67" s="650">
        <f>AB67+AC67+AD67+AE67</f>
        <v/>
      </c>
      <c r="AG67" s="650">
        <f>0.1/3</f>
        <v/>
      </c>
      <c r="AH67" s="650">
        <f>(Z67+AF67+AG67)*10%</f>
        <v/>
      </c>
      <c r="AI67" s="650" t="n">
        <v>0</v>
      </c>
      <c r="AJ67" s="864">
        <f>Z67+AF67+AG67+AH67-AI67</f>
        <v/>
      </c>
      <c r="AK67" s="505">
        <f>AJ67+AJ68+AJ69</f>
        <v/>
      </c>
    </row>
    <row r="68">
      <c r="A68" s="706" t="n">
        <v>21</v>
      </c>
      <c r="B68" s="299" t="n">
        <v>46266</v>
      </c>
      <c r="C68" s="706" t="inlineStr">
        <is>
          <t>SKE</t>
        </is>
      </c>
      <c r="D68" s="706" t="n"/>
      <c r="E68" s="1027" t="inlineStr">
        <is>
          <t>INLAY 2D- 5 Ply - 1050 GSM</t>
        </is>
      </c>
      <c r="F68" s="706" t="inlineStr">
        <is>
          <t>B</t>
        </is>
      </c>
      <c r="G68" s="706" t="n">
        <v>0</v>
      </c>
      <c r="H68" s="706" t="inlineStr">
        <is>
          <t>5 Ply</t>
        </is>
      </c>
      <c r="I68" s="706" t="inlineStr">
        <is>
          <t>KEL &amp; 640 GSM</t>
        </is>
      </c>
      <c r="J68" s="706" t="n"/>
      <c r="K68" s="706" t="inlineStr">
        <is>
          <t>Inlay</t>
        </is>
      </c>
      <c r="L68" s="300" t="n"/>
      <c r="M68" s="300" t="n"/>
      <c r="N68" s="309" t="n"/>
      <c r="O68" s="16" t="inlineStr">
        <is>
          <t>Semi Kraft</t>
        </is>
      </c>
      <c r="P68" s="17" t="n">
        <v>180</v>
      </c>
      <c r="Q68" s="17" t="n"/>
      <c r="R68" s="17" t="n"/>
      <c r="S68" s="455" t="n">
        <v>41</v>
      </c>
      <c r="T68" s="61">
        <f>ROUNDUP($T67,0)+0.2</f>
        <v/>
      </c>
      <c r="U68" s="61">
        <f>ROUNDUP($U67,0)+0.3</f>
        <v/>
      </c>
      <c r="V68" s="903">
        <f>((T68*U68*P68*1.45)*2/1550)/1000</f>
        <v/>
      </c>
      <c r="W68" s="903">
        <f>V68*S68</f>
        <v/>
      </c>
      <c r="X68" s="903">
        <f>(V68*3%)</f>
        <v/>
      </c>
      <c r="Y68" s="903">
        <f>X68*S68</f>
        <v/>
      </c>
      <c r="Z68" s="903">
        <f>W68+Y68</f>
        <v/>
      </c>
      <c r="AA68" s="903" t="n">
        <v>6.85</v>
      </c>
      <c r="AB68" s="903">
        <f>(V68+X68)*AA68</f>
        <v/>
      </c>
      <c r="AC68" s="650">
        <f>0.5/3</f>
        <v/>
      </c>
      <c r="AD68" s="650" t="n">
        <v>0</v>
      </c>
      <c r="AE68" s="650" t="n">
        <v>0</v>
      </c>
      <c r="AF68" s="650">
        <f>AB68+AC68+AD68+AE68</f>
        <v/>
      </c>
      <c r="AG68" s="650">
        <f>0.1/3</f>
        <v/>
      </c>
      <c r="AH68" s="650">
        <f>(Z68+AF68+AG68)*10%</f>
        <v/>
      </c>
      <c r="AI68" s="650" t="n">
        <v>0</v>
      </c>
      <c r="AJ68" s="864">
        <f>Z68+AF68+AG68+AH68-AI68</f>
        <v/>
      </c>
      <c r="AK68" s="505" t="inlineStr">
        <is>
          <t>ok</t>
        </is>
      </c>
    </row>
    <row r="69">
      <c r="A69" s="706" t="n">
        <v>21</v>
      </c>
      <c r="B69" s="299" t="n">
        <v>46266</v>
      </c>
      <c r="C69" s="706" t="inlineStr">
        <is>
          <t>SKE</t>
        </is>
      </c>
      <c r="D69" s="706" t="n"/>
      <c r="E69" s="1027" t="inlineStr">
        <is>
          <t>INLAY 2D- 5 Ply - 1050 GSM</t>
        </is>
      </c>
      <c r="F69" s="706" t="inlineStr">
        <is>
          <t>B</t>
        </is>
      </c>
      <c r="G69" s="706" t="n">
        <v>0</v>
      </c>
      <c r="H69" s="706" t="inlineStr">
        <is>
          <t>5 Ply</t>
        </is>
      </c>
      <c r="I69" s="706" t="inlineStr">
        <is>
          <t>KEL &amp; 640 GSM</t>
        </is>
      </c>
      <c r="J69" s="706" t="n"/>
      <c r="K69" s="706" t="inlineStr">
        <is>
          <t>Inlay</t>
        </is>
      </c>
      <c r="L69" s="300" t="n"/>
      <c r="M69" s="300" t="n"/>
      <c r="N69" s="309" t="n"/>
      <c r="O69" s="16" t="inlineStr">
        <is>
          <t>Virgin Kraft</t>
        </is>
      </c>
      <c r="P69" s="17" t="n">
        <v>230</v>
      </c>
      <c r="Q69" s="17" t="n"/>
      <c r="R69" s="17" t="n"/>
      <c r="S69" s="455" t="n">
        <v>43</v>
      </c>
      <c r="T69" s="61">
        <f>T68</f>
        <v/>
      </c>
      <c r="U69" s="61">
        <f>U68</f>
        <v/>
      </c>
      <c r="V69" s="903">
        <f>((T69*U69*P69)/1550)*2/1000</f>
        <v/>
      </c>
      <c r="W69" s="903">
        <f>V69*S69</f>
        <v/>
      </c>
      <c r="X69" s="903">
        <f>(V69*3%)</f>
        <v/>
      </c>
      <c r="Y69" s="903">
        <f>X69*S69</f>
        <v/>
      </c>
      <c r="Z69" s="903">
        <f>W69+Y69</f>
        <v/>
      </c>
      <c r="AA69" s="903" t="n">
        <v>6.85</v>
      </c>
      <c r="AB69" s="903">
        <f>(V69+X69)*AA69</f>
        <v/>
      </c>
      <c r="AC69" s="650">
        <f>0.5/3</f>
        <v/>
      </c>
      <c r="AD69" s="650" t="n">
        <v>0</v>
      </c>
      <c r="AE69" s="650" t="n">
        <v>0</v>
      </c>
      <c r="AF69" s="650">
        <f>AB69+AC69+AD69+AE69</f>
        <v/>
      </c>
      <c r="AG69" s="650">
        <f>0.1/3</f>
        <v/>
      </c>
      <c r="AH69" s="650">
        <f>(Z69+AF69+AG69)*10%</f>
        <v/>
      </c>
      <c r="AI69" s="650" t="n">
        <v>0</v>
      </c>
      <c r="AJ69" s="864">
        <f>Z69+AF69+AG69+AH69-AI69</f>
        <v/>
      </c>
      <c r="AK69" s="505" t="n"/>
    </row>
    <row r="70">
      <c r="A70" s="706" t="n">
        <v>22</v>
      </c>
      <c r="B70" s="299" t="n">
        <v>46266</v>
      </c>
      <c r="C70" s="706" t="inlineStr">
        <is>
          <t>SKE</t>
        </is>
      </c>
      <c r="D70" s="706" t="n"/>
      <c r="E70" s="1026" t="inlineStr">
        <is>
          <t>INLAY 2D- 5 Ply 890 GSM</t>
        </is>
      </c>
      <c r="F70" s="706" t="inlineStr">
        <is>
          <t>B</t>
        </is>
      </c>
      <c r="G70" s="706" t="n">
        <v>0</v>
      </c>
      <c r="H70" s="706" t="inlineStr">
        <is>
          <t>5 Ply</t>
        </is>
      </c>
      <c r="I70" s="706" t="inlineStr">
        <is>
          <t>KEL</t>
        </is>
      </c>
      <c r="J70" s="706" t="n"/>
      <c r="K70" s="706" t="inlineStr">
        <is>
          <t>Inlay</t>
        </is>
      </c>
      <c r="L70" s="300" t="n">
        <v>100</v>
      </c>
      <c r="M70" s="300" t="n">
        <v>100</v>
      </c>
      <c r="N70" s="309" t="n"/>
      <c r="O70" s="16" t="inlineStr">
        <is>
          <t>Virgin Kraft</t>
        </is>
      </c>
      <c r="P70" s="17" t="n">
        <v>230</v>
      </c>
      <c r="Q70" s="17" t="n"/>
      <c r="R70" s="17" t="n"/>
      <c r="S70" s="455" t="n">
        <v>43</v>
      </c>
      <c r="T70" s="150">
        <f>(L70+15)/25.4</f>
        <v/>
      </c>
      <c r="U70" s="150">
        <f>(M70+15)/25.4</f>
        <v/>
      </c>
      <c r="V70" s="903">
        <f>((T71*U71*P70)/1550)/1000</f>
        <v/>
      </c>
      <c r="W70" s="903">
        <f>V70*S70</f>
        <v/>
      </c>
      <c r="X70" s="903">
        <f>(V70*3%)</f>
        <v/>
      </c>
      <c r="Y70" s="903">
        <f>X70*S70</f>
        <v/>
      </c>
      <c r="Z70" s="903">
        <f>W70+Y70</f>
        <v/>
      </c>
      <c r="AA70" s="903" t="n">
        <v>6.85</v>
      </c>
      <c r="AB70" s="903">
        <f>(V70+X70)*AA70</f>
        <v/>
      </c>
      <c r="AC70" s="650">
        <f>0.5/3</f>
        <v/>
      </c>
      <c r="AD70" s="650" t="n">
        <v>0</v>
      </c>
      <c r="AE70" s="650" t="n">
        <v>0</v>
      </c>
      <c r="AF70" s="650">
        <f>AB70+AC70+AD70+AE70</f>
        <v/>
      </c>
      <c r="AG70" s="650">
        <f>0.1/3</f>
        <v/>
      </c>
      <c r="AH70" s="650">
        <f>(Z70+AF70+AG70)*10%</f>
        <v/>
      </c>
      <c r="AI70" s="650" t="n">
        <v>0</v>
      </c>
      <c r="AJ70" s="864">
        <f>Z70+AF70+AG70+AH70-AI70</f>
        <v/>
      </c>
      <c r="AK70" s="505">
        <f>AJ70+AJ71+AJ72</f>
        <v/>
      </c>
    </row>
    <row r="71">
      <c r="A71" s="706" t="n">
        <v>22</v>
      </c>
      <c r="B71" s="299" t="n">
        <v>46266</v>
      </c>
      <c r="C71" s="706" t="inlineStr">
        <is>
          <t>SKE</t>
        </is>
      </c>
      <c r="D71" s="706" t="n"/>
      <c r="E71" s="1026" t="inlineStr">
        <is>
          <t>INLAY 2D- 5 Ply 890 GSM</t>
        </is>
      </c>
      <c r="F71" s="706" t="inlineStr">
        <is>
          <t>B</t>
        </is>
      </c>
      <c r="G71" s="706" t="n">
        <v>0</v>
      </c>
      <c r="H71" s="706" t="inlineStr">
        <is>
          <t>5 Ply</t>
        </is>
      </c>
      <c r="I71" s="706" t="inlineStr">
        <is>
          <t>KEL</t>
        </is>
      </c>
      <c r="J71" s="706" t="n"/>
      <c r="K71" s="706" t="inlineStr">
        <is>
          <t>Inlay</t>
        </is>
      </c>
      <c r="L71" s="300" t="n"/>
      <c r="M71" s="300" t="n"/>
      <c r="N71" s="309" t="n"/>
      <c r="O71" s="16" t="inlineStr">
        <is>
          <t>Semi Kraft</t>
        </is>
      </c>
      <c r="P71" s="17" t="n">
        <v>150</v>
      </c>
      <c r="Q71" s="17" t="n"/>
      <c r="R71" s="17" t="n"/>
      <c r="S71" s="455" t="n">
        <v>41</v>
      </c>
      <c r="T71" s="293">
        <f>IF(MOD(ROUNDUP(T70,0),2)=1,ROUNDUP(T70,0)+1,ROUNDUP(T70,0))</f>
        <v/>
      </c>
      <c r="U71" s="293">
        <f>CEILING($U70,0.5)</f>
        <v/>
      </c>
      <c r="V71" s="903">
        <f>((T71*U71*P71*1.45)*2/1550)/1000</f>
        <v/>
      </c>
      <c r="W71" s="903">
        <f>V71*S71</f>
        <v/>
      </c>
      <c r="X71" s="903">
        <f>(V71*3%)</f>
        <v/>
      </c>
      <c r="Y71" s="903">
        <f>X71*S71</f>
        <v/>
      </c>
      <c r="Z71" s="903">
        <f>W71+Y71</f>
        <v/>
      </c>
      <c r="AA71" s="903" t="n">
        <v>6.85</v>
      </c>
      <c r="AB71" s="903">
        <f>(V71+X71)*AA71</f>
        <v/>
      </c>
      <c r="AC71" s="650">
        <f>0.5/3</f>
        <v/>
      </c>
      <c r="AD71" s="650" t="n">
        <v>0</v>
      </c>
      <c r="AE71" s="650" t="n">
        <v>0</v>
      </c>
      <c r="AF71" s="650">
        <f>AB71+AC71+AD71+AE71</f>
        <v/>
      </c>
      <c r="AG71" s="650">
        <f>0.1/3</f>
        <v/>
      </c>
      <c r="AH71" s="650">
        <f>(Z71+AF71+AG71)*10%</f>
        <v/>
      </c>
      <c r="AI71" s="650" t="n">
        <v>0</v>
      </c>
      <c r="AJ71" s="864">
        <f>Z71+AF71+AG71+AH71-AI71</f>
        <v/>
      </c>
      <c r="AK71" s="505" t="inlineStr">
        <is>
          <t>ok</t>
        </is>
      </c>
    </row>
    <row r="72">
      <c r="A72" s="706" t="n">
        <v>22</v>
      </c>
      <c r="B72" s="299" t="n">
        <v>46266</v>
      </c>
      <c r="C72" s="706" t="inlineStr">
        <is>
          <t>SKE</t>
        </is>
      </c>
      <c r="D72" s="706" t="n"/>
      <c r="E72" s="1026" t="inlineStr">
        <is>
          <t>INLAY 2D- 5 Ply 890 GSM</t>
        </is>
      </c>
      <c r="F72" s="706" t="inlineStr">
        <is>
          <t>B</t>
        </is>
      </c>
      <c r="G72" s="706" t="n">
        <v>0</v>
      </c>
      <c r="H72" s="706" t="inlineStr">
        <is>
          <t>5 Ply</t>
        </is>
      </c>
      <c r="I72" s="706" t="inlineStr">
        <is>
          <t>KEL</t>
        </is>
      </c>
      <c r="J72" s="706" t="n"/>
      <c r="K72" s="706" t="inlineStr">
        <is>
          <t>Inlay</t>
        </is>
      </c>
      <c r="L72" s="300" t="n"/>
      <c r="M72" s="300" t="n"/>
      <c r="N72" s="309" t="n"/>
      <c r="O72" s="16" t="inlineStr">
        <is>
          <t>Virgin Kraft</t>
        </is>
      </c>
      <c r="P72" s="17" t="n">
        <v>180</v>
      </c>
      <c r="Q72" s="17" t="n"/>
      <c r="R72" s="17" t="n"/>
      <c r="S72" s="455" t="n">
        <v>43</v>
      </c>
      <c r="T72" s="61">
        <f>T71</f>
        <v/>
      </c>
      <c r="U72" s="61">
        <f>U71</f>
        <v/>
      </c>
      <c r="V72" s="903">
        <f>((T72*U72*P72)/1550)*2/1000</f>
        <v/>
      </c>
      <c r="W72" s="903">
        <f>V72*S72</f>
        <v/>
      </c>
      <c r="X72" s="903">
        <f>(V72*3%)</f>
        <v/>
      </c>
      <c r="Y72" s="903">
        <f>X72*S72</f>
        <v/>
      </c>
      <c r="Z72" s="903">
        <f>W72+Y72</f>
        <v/>
      </c>
      <c r="AA72" s="903" t="n">
        <v>6.85</v>
      </c>
      <c r="AB72" s="903">
        <f>(V72+X72)*AA72</f>
        <v/>
      </c>
      <c r="AC72" s="650">
        <f>0.5/3</f>
        <v/>
      </c>
      <c r="AD72" s="650" t="n">
        <v>0</v>
      </c>
      <c r="AE72" s="650" t="n">
        <v>0</v>
      </c>
      <c r="AF72" s="650">
        <f>AB72+AC72+AD72+AE72</f>
        <v/>
      </c>
      <c r="AG72" s="650">
        <f>0.1/3</f>
        <v/>
      </c>
      <c r="AH72" s="650">
        <f>(Z72+AF72+AG72)*10%</f>
        <v/>
      </c>
      <c r="AI72" s="650" t="n">
        <v>0</v>
      </c>
      <c r="AJ72" s="864">
        <f>Z72+AF72+AG72+AH72-AI72</f>
        <v/>
      </c>
      <c r="AK72" s="505" t="n"/>
    </row>
    <row r="73">
      <c r="A73" s="706" t="n">
        <v>23</v>
      </c>
      <c r="B73" s="299" t="n">
        <v>46266</v>
      </c>
      <c r="C73" s="706" t="inlineStr">
        <is>
          <t>SKE</t>
        </is>
      </c>
      <c r="D73" s="706" t="n"/>
      <c r="E73" s="1026" t="inlineStr">
        <is>
          <t>INLAY 2D - 3 Ply A-Flute 560 GSM</t>
        </is>
      </c>
      <c r="F73" s="706" t="inlineStr">
        <is>
          <t>A</t>
        </is>
      </c>
      <c r="G73" s="706" t="n">
        <v>0</v>
      </c>
      <c r="H73" s="706" t="inlineStr">
        <is>
          <t>3 Ply</t>
        </is>
      </c>
      <c r="I73" s="706" t="inlineStr">
        <is>
          <t>KEL</t>
        </is>
      </c>
      <c r="J73" s="706" t="n"/>
      <c r="K73" s="706" t="inlineStr">
        <is>
          <t>Inlay</t>
        </is>
      </c>
      <c r="L73" s="300" t="n">
        <v>100</v>
      </c>
      <c r="M73" s="300" t="n">
        <v>100</v>
      </c>
      <c r="N73" s="514" t="n"/>
      <c r="O73" s="717" t="inlineStr">
        <is>
          <t>Virgin Kraft</t>
        </is>
      </c>
      <c r="P73" s="702" t="n">
        <v>230</v>
      </c>
      <c r="Q73" s="702" t="n"/>
      <c r="R73" s="702" t="n"/>
      <c r="S73" s="455" t="n">
        <v>43</v>
      </c>
      <c r="T73" s="151">
        <f>(L73+25)/25.4</f>
        <v/>
      </c>
      <c r="U73" s="151">
        <f>(M73+25)/25.4</f>
        <v/>
      </c>
      <c r="V73" s="25">
        <f>((T74*U74*P73)/1550)/1000</f>
        <v/>
      </c>
      <c r="W73" s="25">
        <f>V73*S73</f>
        <v/>
      </c>
      <c r="X73" s="25">
        <f>(V73*3%)</f>
        <v/>
      </c>
      <c r="Y73" s="25">
        <f>X73*S73</f>
        <v/>
      </c>
      <c r="Z73" s="25">
        <f>W73+Y73</f>
        <v/>
      </c>
      <c r="AA73" s="25" t="n">
        <v>6.85</v>
      </c>
      <c r="AB73" s="25">
        <f>(V73+X73)*AA73</f>
        <v/>
      </c>
      <c r="AC73" s="650">
        <f>0.5/3</f>
        <v/>
      </c>
      <c r="AD73" s="650" t="n">
        <v>0</v>
      </c>
      <c r="AE73" s="650" t="n">
        <v>0</v>
      </c>
      <c r="AF73" s="650">
        <f>AB73+AC73+AD73+AE73</f>
        <v/>
      </c>
      <c r="AG73" s="650">
        <f>0.1/3</f>
        <v/>
      </c>
      <c r="AH73" s="650">
        <f>(Z73+AF73+AG73)*10%</f>
        <v/>
      </c>
      <c r="AI73" s="650" t="n">
        <v>0</v>
      </c>
      <c r="AJ73" s="864">
        <f>Z73+AF73+AG73+AH73-AI73</f>
        <v/>
      </c>
      <c r="AK73" s="505">
        <f>AJ73+AJ74+AJ75</f>
        <v/>
      </c>
    </row>
    <row r="74">
      <c r="A74" s="706" t="n">
        <v>23</v>
      </c>
      <c r="B74" s="299" t="n">
        <v>46266</v>
      </c>
      <c r="C74" s="706" t="inlineStr">
        <is>
          <t>SKE</t>
        </is>
      </c>
      <c r="D74" s="706" t="n"/>
      <c r="E74" s="1026" t="inlineStr">
        <is>
          <t>INLAY 2D - 3 Ply A-Flute 560 GSM</t>
        </is>
      </c>
      <c r="F74" s="706" t="inlineStr">
        <is>
          <t>A</t>
        </is>
      </c>
      <c r="G74" s="706" t="n">
        <v>0</v>
      </c>
      <c r="H74" s="706" t="inlineStr">
        <is>
          <t>3 Ply</t>
        </is>
      </c>
      <c r="I74" s="706" t="inlineStr">
        <is>
          <t>KEL</t>
        </is>
      </c>
      <c r="J74" s="706" t="n"/>
      <c r="K74" s="706" t="inlineStr">
        <is>
          <t>Inlay</t>
        </is>
      </c>
      <c r="L74" s="300" t="n"/>
      <c r="M74" s="300" t="n"/>
      <c r="N74" s="514" t="n"/>
      <c r="O74" s="717" t="inlineStr">
        <is>
          <t>Semi Kraft</t>
        </is>
      </c>
      <c r="P74" s="702" t="n">
        <v>150</v>
      </c>
      <c r="Q74" s="702" t="n"/>
      <c r="R74" s="702" t="n"/>
      <c r="S74" s="455" t="n">
        <v>41</v>
      </c>
      <c r="T74" s="372">
        <f>IF(MOD(ROUNDUP(T73,0),2)=1,ROUNDUP(T73,0)+1,ROUNDUP(T73,0))</f>
        <v/>
      </c>
      <c r="U74" s="372">
        <f>CEILING($U73,0.5)</f>
        <v/>
      </c>
      <c r="V74" s="25">
        <f>((T74*U74*P74*1.55)/1550)/1000</f>
        <v/>
      </c>
      <c r="W74" s="25">
        <f>V74*S74</f>
        <v/>
      </c>
      <c r="X74" s="25">
        <f>(V74*3%)</f>
        <v/>
      </c>
      <c r="Y74" s="25">
        <f>X74*S74</f>
        <v/>
      </c>
      <c r="Z74" s="25">
        <f>W74+Y74</f>
        <v/>
      </c>
      <c r="AA74" s="25" t="n">
        <v>6.85</v>
      </c>
      <c r="AB74" s="25">
        <f>(V74+X74)*AA74</f>
        <v/>
      </c>
      <c r="AC74" s="650">
        <f>0.5/3</f>
        <v/>
      </c>
      <c r="AD74" s="650" t="n">
        <v>0</v>
      </c>
      <c r="AE74" s="650" t="n">
        <v>0</v>
      </c>
      <c r="AF74" s="650">
        <f>AB74+AC74+AD74+AE74</f>
        <v/>
      </c>
      <c r="AG74" s="650">
        <f>0.1/3</f>
        <v/>
      </c>
      <c r="AH74" s="650">
        <f>(Z74+AF74+AG74)*10%</f>
        <v/>
      </c>
      <c r="AI74" s="650" t="n">
        <v>0</v>
      </c>
      <c r="AJ74" s="864">
        <f>Z74+AF74+AG74+AH74-AI74</f>
        <v/>
      </c>
      <c r="AK74" s="505" t="inlineStr">
        <is>
          <t>ok</t>
        </is>
      </c>
    </row>
    <row r="75">
      <c r="A75" s="706" t="n">
        <v>23</v>
      </c>
      <c r="B75" s="299" t="n">
        <v>46266</v>
      </c>
      <c r="C75" s="706" t="inlineStr">
        <is>
          <t>SKE</t>
        </is>
      </c>
      <c r="D75" s="706" t="n"/>
      <c r="E75" s="1026" t="inlineStr">
        <is>
          <t>INLAY 2D - 3 Ply A-Flute 560 GSM</t>
        </is>
      </c>
      <c r="F75" s="706" t="inlineStr">
        <is>
          <t>A</t>
        </is>
      </c>
      <c r="G75" s="706" t="n">
        <v>0</v>
      </c>
      <c r="H75" s="706" t="inlineStr">
        <is>
          <t>3 Ply</t>
        </is>
      </c>
      <c r="I75" s="706" t="inlineStr">
        <is>
          <t>KEL</t>
        </is>
      </c>
      <c r="J75" s="706" t="n"/>
      <c r="K75" s="706" t="inlineStr">
        <is>
          <t>Inlay</t>
        </is>
      </c>
      <c r="L75" s="300" t="n"/>
      <c r="M75" s="300" t="n"/>
      <c r="N75" s="514" t="n"/>
      <c r="O75" s="717" t="inlineStr">
        <is>
          <t>Virgin Kraft</t>
        </is>
      </c>
      <c r="P75" s="702" t="n">
        <v>180</v>
      </c>
      <c r="Q75" s="702" t="n"/>
      <c r="R75" s="702" t="n"/>
      <c r="S75" s="455" t="n">
        <v>43</v>
      </c>
      <c r="T75" s="31">
        <f>T74</f>
        <v/>
      </c>
      <c r="U75" s="31">
        <f>U74</f>
        <v/>
      </c>
      <c r="V75" s="25">
        <f>((T75*U75*P75)/1550)/1000</f>
        <v/>
      </c>
      <c r="W75" s="25">
        <f>V75*S75</f>
        <v/>
      </c>
      <c r="X75" s="25">
        <f>(V75*3%)</f>
        <v/>
      </c>
      <c r="Y75" s="25">
        <f>X75*S75</f>
        <v/>
      </c>
      <c r="Z75" s="25">
        <f>W75+Y75</f>
        <v/>
      </c>
      <c r="AA75" s="25" t="n">
        <v>6.85</v>
      </c>
      <c r="AB75" s="25">
        <f>(V75+X75)*AA75</f>
        <v/>
      </c>
      <c r="AC75" s="650">
        <f>0.5/3</f>
        <v/>
      </c>
      <c r="AD75" s="650" t="n">
        <v>0</v>
      </c>
      <c r="AE75" s="650" t="n">
        <v>0</v>
      </c>
      <c r="AF75" s="650">
        <f>AB75+AC75+AD75+AE75</f>
        <v/>
      </c>
      <c r="AG75" s="650">
        <f>0.1/3</f>
        <v/>
      </c>
      <c r="AH75" s="650">
        <f>(Z75+AF75+AG75)*10%</f>
        <v/>
      </c>
      <c r="AI75" s="650" t="n">
        <v>0</v>
      </c>
      <c r="AJ75" s="864">
        <f>Z75+AF75+AG75+AH75-AI75</f>
        <v/>
      </c>
      <c r="AK75" s="505" t="n"/>
    </row>
    <row r="76" ht="15" customHeight="1">
      <c r="A76" s="643" t="n">
        <v>24</v>
      </c>
      <c r="B76" s="316" t="n">
        <v>46266</v>
      </c>
      <c r="C76" s="38" t="inlineStr">
        <is>
          <t>SKE</t>
        </is>
      </c>
      <c r="D76" s="38" t="n"/>
      <c r="E76" s="1026" t="inlineStr">
        <is>
          <t>INLAY 2D - 5 Ply, A+B, Flute 890 GSM</t>
        </is>
      </c>
      <c r="F76" s="38" t="inlineStr">
        <is>
          <t>A+B</t>
        </is>
      </c>
      <c r="G76" s="38" t="n">
        <v>0</v>
      </c>
      <c r="H76" s="38" t="inlineStr">
        <is>
          <t>5 Ply</t>
        </is>
      </c>
      <c r="I76" s="38" t="inlineStr">
        <is>
          <t>KEL</t>
        </is>
      </c>
      <c r="J76" s="38" t="n"/>
      <c r="K76" s="706" t="inlineStr">
        <is>
          <t>Inlay</t>
        </is>
      </c>
      <c r="L76" s="450" t="n">
        <v>100</v>
      </c>
      <c r="M76" s="450" t="n">
        <v>100</v>
      </c>
      <c r="N76" s="513" t="n"/>
      <c r="O76" s="37" t="inlineStr">
        <is>
          <t>Virgin Kraft</t>
        </is>
      </c>
      <c r="P76" s="38" t="n">
        <v>230</v>
      </c>
      <c r="Q76" s="38" t="n"/>
      <c r="R76" s="38" t="n"/>
      <c r="S76" s="455" t="n">
        <v>43</v>
      </c>
      <c r="T76" s="150">
        <f>(L76+15)/25.4</f>
        <v/>
      </c>
      <c r="U76" s="150">
        <f>(M76+15)/25.4</f>
        <v/>
      </c>
      <c r="V76" s="33">
        <f>((T77*U77*P76)/1550)/1000</f>
        <v/>
      </c>
      <c r="W76" s="33">
        <f>V76*S76</f>
        <v/>
      </c>
      <c r="X76" s="33">
        <f>(V76*3%)</f>
        <v/>
      </c>
      <c r="Y76" s="33">
        <f>X76*S76</f>
        <v/>
      </c>
      <c r="Z76" s="33">
        <f>W76+Y76</f>
        <v/>
      </c>
      <c r="AA76" s="33" t="n">
        <v>6.85</v>
      </c>
      <c r="AB76" s="33">
        <f>(V76+X76)*AA76</f>
        <v/>
      </c>
      <c r="AC76" s="33">
        <f>0.5/4</f>
        <v/>
      </c>
      <c r="AD76" s="650" t="n">
        <v>0</v>
      </c>
      <c r="AE76" s="650" t="n">
        <v>0</v>
      </c>
      <c r="AF76" s="650">
        <f>AB76+AC76+AD76+AE76</f>
        <v/>
      </c>
      <c r="AG76" s="33">
        <f>0.1/4</f>
        <v/>
      </c>
      <c r="AH76" s="650">
        <f>(Z76+AF76+AG76)*10%</f>
        <v/>
      </c>
      <c r="AI76" s="650" t="n">
        <v>0</v>
      </c>
      <c r="AJ76" s="864">
        <f>Z76+AF76+AG76+AH76-AI76</f>
        <v/>
      </c>
      <c r="AK76" s="505">
        <f>AJ76+AJ77+AJ78+AJ79</f>
        <v/>
      </c>
    </row>
    <row r="77">
      <c r="A77" s="643" t="n">
        <v>24</v>
      </c>
      <c r="B77" s="316" t="n">
        <v>46266</v>
      </c>
      <c r="C77" s="38" t="inlineStr">
        <is>
          <t>SKE</t>
        </is>
      </c>
      <c r="D77" s="38" t="n"/>
      <c r="E77" s="1026" t="inlineStr">
        <is>
          <t>INLAY 2D - 5 Ply, A+B, Flute 890 GSM</t>
        </is>
      </c>
      <c r="F77" s="38" t="inlineStr">
        <is>
          <t>B</t>
        </is>
      </c>
      <c r="G77" s="38" t="n">
        <v>0</v>
      </c>
      <c r="H77" s="38" t="inlineStr">
        <is>
          <t>5 Ply</t>
        </is>
      </c>
      <c r="I77" s="38" t="inlineStr">
        <is>
          <t>KEL</t>
        </is>
      </c>
      <c r="J77" s="38" t="n"/>
      <c r="K77" s="706" t="inlineStr">
        <is>
          <t>Inlay</t>
        </is>
      </c>
      <c r="L77" s="450" t="n"/>
      <c r="M77" s="450" t="n"/>
      <c r="N77" s="513" t="n"/>
      <c r="O77" s="37" t="inlineStr">
        <is>
          <t>Semi Kraft</t>
        </is>
      </c>
      <c r="P77" s="38" t="n">
        <v>150</v>
      </c>
      <c r="Q77" s="38" t="n"/>
      <c r="R77" s="38" t="n"/>
      <c r="S77" s="455" t="n">
        <v>41</v>
      </c>
      <c r="T77" s="374">
        <f>IF(MOD(ROUNDUP(T76,0),2)=1,ROUNDUP(T76,0)+1,ROUNDUP(T76,0))</f>
        <v/>
      </c>
      <c r="U77" s="374">
        <f>CEILING($U76,0.5)</f>
        <v/>
      </c>
      <c r="V77" s="33">
        <f>(((T77*U77*P77*1.45)/1550)/1000)</f>
        <v/>
      </c>
      <c r="W77" s="33">
        <f>V77*S77</f>
        <v/>
      </c>
      <c r="X77" s="33">
        <f>(V77*3%)</f>
        <v/>
      </c>
      <c r="Y77" s="33">
        <f>X77*S77</f>
        <v/>
      </c>
      <c r="Z77" s="33">
        <f>W77+Y77</f>
        <v/>
      </c>
      <c r="AA77" s="33" t="n">
        <v>6.85</v>
      </c>
      <c r="AB77" s="33">
        <f>(V77+X77)*AA77</f>
        <v/>
      </c>
      <c r="AC77" s="33">
        <f>0.5/4</f>
        <v/>
      </c>
      <c r="AD77" s="650" t="n">
        <v>0</v>
      </c>
      <c r="AE77" s="650" t="n">
        <v>0</v>
      </c>
      <c r="AF77" s="650">
        <f>AB77+AC77+AD77+AE77</f>
        <v/>
      </c>
      <c r="AG77" s="33">
        <f>0.1/4</f>
        <v/>
      </c>
      <c r="AH77" s="650">
        <f>(Z77+AF77+AG77)*10%</f>
        <v/>
      </c>
      <c r="AI77" s="650" t="n">
        <v>0</v>
      </c>
      <c r="AJ77" s="864">
        <f>Z77+AF77+AG77+AH77-AI77</f>
        <v/>
      </c>
      <c r="AK77" s="505" t="inlineStr">
        <is>
          <t>ok</t>
        </is>
      </c>
    </row>
    <row r="78">
      <c r="A78" s="643" t="n">
        <v>24</v>
      </c>
      <c r="B78" s="316" t="n">
        <v>46266</v>
      </c>
      <c r="C78" s="38" t="inlineStr">
        <is>
          <t>SKE</t>
        </is>
      </c>
      <c r="D78" s="38" t="n"/>
      <c r="E78" s="1026" t="inlineStr">
        <is>
          <t>INLAY 2D - 5 Ply, A+B, Flute 890 GSM</t>
        </is>
      </c>
      <c r="F78" s="38" t="inlineStr">
        <is>
          <t>A</t>
        </is>
      </c>
      <c r="G78" s="38" t="n">
        <v>0</v>
      </c>
      <c r="H78" s="38" t="inlineStr">
        <is>
          <t>5 Ply</t>
        </is>
      </c>
      <c r="I78" s="38" t="inlineStr">
        <is>
          <t>KEL</t>
        </is>
      </c>
      <c r="J78" s="38" t="n"/>
      <c r="K78" s="706" t="inlineStr">
        <is>
          <t>Inlay</t>
        </is>
      </c>
      <c r="L78" s="450" t="n"/>
      <c r="M78" s="450" t="n"/>
      <c r="N78" s="513" t="n"/>
      <c r="O78" s="37" t="inlineStr">
        <is>
          <t>Semi Kraft</t>
        </is>
      </c>
      <c r="P78" s="38" t="n">
        <v>150</v>
      </c>
      <c r="Q78" s="38" t="n"/>
      <c r="R78" s="38" t="n"/>
      <c r="S78" s="455" t="n">
        <v>41</v>
      </c>
      <c r="T78" s="33">
        <f>IF(MOD(ROUNDUP(T77,0),2)=1,ROUNDUP(T77,0)+1,ROUNDUP(T77,0))</f>
        <v/>
      </c>
      <c r="U78" s="33">
        <f>U77</f>
        <v/>
      </c>
      <c r="V78" s="33">
        <f>(((T78*U78*P78*1.55)/1550)/1000)</f>
        <v/>
      </c>
      <c r="W78" s="33">
        <f>V78*S78</f>
        <v/>
      </c>
      <c r="X78" s="33">
        <f>(V78*3%)</f>
        <v/>
      </c>
      <c r="Y78" s="33">
        <f>X78*S78</f>
        <v/>
      </c>
      <c r="Z78" s="33">
        <f>W78+Y78</f>
        <v/>
      </c>
      <c r="AA78" s="33" t="n">
        <v>6.85</v>
      </c>
      <c r="AB78" s="33">
        <f>(V78+X78)*AA78</f>
        <v/>
      </c>
      <c r="AC78" s="33">
        <f>0.5/4</f>
        <v/>
      </c>
      <c r="AD78" s="650" t="n">
        <v>0</v>
      </c>
      <c r="AE78" s="650" t="n">
        <v>0</v>
      </c>
      <c r="AF78" s="650">
        <f>AB78+AC78+AD78+AE78</f>
        <v/>
      </c>
      <c r="AG78" s="33">
        <f>0.1/4</f>
        <v/>
      </c>
      <c r="AH78" s="650">
        <f>(Z78+AF78+AG78)*10%</f>
        <v/>
      </c>
      <c r="AI78" s="650" t="n">
        <v>0</v>
      </c>
      <c r="AJ78" s="864">
        <f>Z78+AF78+AG78+AH78-AI78</f>
        <v/>
      </c>
      <c r="AK78" s="505" t="n"/>
    </row>
    <row r="79">
      <c r="A79" s="643" t="n">
        <v>24</v>
      </c>
      <c r="B79" s="316" t="n">
        <v>46266</v>
      </c>
      <c r="C79" s="38" t="inlineStr">
        <is>
          <t>SKE</t>
        </is>
      </c>
      <c r="D79" s="38" t="n"/>
      <c r="E79" s="1026" t="inlineStr">
        <is>
          <t>INLAY 2D - 5 Ply, A+B, Flute 890 GSM</t>
        </is>
      </c>
      <c r="F79" s="38" t="inlineStr">
        <is>
          <t>A+B</t>
        </is>
      </c>
      <c r="G79" s="38" t="n">
        <v>0</v>
      </c>
      <c r="H79" s="38" t="inlineStr">
        <is>
          <t>5 Ply</t>
        </is>
      </c>
      <c r="I79" s="38" t="inlineStr">
        <is>
          <t>KEL</t>
        </is>
      </c>
      <c r="J79" s="38" t="n"/>
      <c r="K79" s="706" t="inlineStr">
        <is>
          <t>Inlay</t>
        </is>
      </c>
      <c r="L79" s="450" t="n"/>
      <c r="M79" s="450" t="n"/>
      <c r="N79" s="513" t="n"/>
      <c r="O79" s="37" t="inlineStr">
        <is>
          <t>Virgin Kraft</t>
        </is>
      </c>
      <c r="P79" s="38" t="n">
        <v>180</v>
      </c>
      <c r="Q79" s="38" t="n"/>
      <c r="R79" s="38" t="n"/>
      <c r="S79" s="455" t="n">
        <v>43</v>
      </c>
      <c r="T79" s="33">
        <f>T77</f>
        <v/>
      </c>
      <c r="U79" s="33">
        <f>U77</f>
        <v/>
      </c>
      <c r="V79" s="33">
        <f>(((T79*U79*P79)/1550)/1000)*2</f>
        <v/>
      </c>
      <c r="W79" s="33">
        <f>V79*S79</f>
        <v/>
      </c>
      <c r="X79" s="33">
        <f>(V79*3%)</f>
        <v/>
      </c>
      <c r="Y79" s="33">
        <f>X79*S79</f>
        <v/>
      </c>
      <c r="Z79" s="33">
        <f>W79+Y79</f>
        <v/>
      </c>
      <c r="AA79" s="33" t="n">
        <v>6.85</v>
      </c>
      <c r="AB79" s="33">
        <f>(V79+X79)*AA79</f>
        <v/>
      </c>
      <c r="AC79" s="33">
        <f>0.5/4</f>
        <v/>
      </c>
      <c r="AD79" s="650" t="n">
        <v>0</v>
      </c>
      <c r="AE79" s="650" t="n">
        <v>0</v>
      </c>
      <c r="AF79" s="650">
        <f>AB79+AC79+AD79+AE79</f>
        <v/>
      </c>
      <c r="AG79" s="33">
        <f>0.1/4</f>
        <v/>
      </c>
      <c r="AH79" s="650">
        <f>(Z79+AF79+AG79)*10%</f>
        <v/>
      </c>
      <c r="AI79" s="650" t="n">
        <v>0</v>
      </c>
      <c r="AJ79" s="864">
        <f>Z79+AF79+AG79+AH79-AI79</f>
        <v/>
      </c>
      <c r="AK79" s="505" t="n"/>
    </row>
    <row r="80" ht="15" customHeight="1">
      <c r="A80" s="706" t="n">
        <v>25</v>
      </c>
      <c r="B80" s="299" t="n">
        <v>46266</v>
      </c>
      <c r="C80" s="706" t="inlineStr">
        <is>
          <t>SKE</t>
        </is>
      </c>
      <c r="D80" s="706" t="n"/>
      <c r="E80" s="1026" t="inlineStr">
        <is>
          <t>Inlay Universal Box &lt; 300 mm- 3 Ply 560 GSM</t>
        </is>
      </c>
      <c r="F80" s="706" t="inlineStr">
        <is>
          <t>B</t>
        </is>
      </c>
      <c r="G80" s="706" t="n">
        <v>0</v>
      </c>
      <c r="H80" s="706" t="inlineStr">
        <is>
          <t>3 Ply</t>
        </is>
      </c>
      <c r="I80" s="706" t="inlineStr">
        <is>
          <t>KEL</t>
        </is>
      </c>
      <c r="J80" s="706" t="inlineStr">
        <is>
          <t>&lt; 300 mm</t>
        </is>
      </c>
      <c r="K80" s="706" t="inlineStr">
        <is>
          <t>U</t>
        </is>
      </c>
      <c r="L80" s="300" t="n">
        <v>100</v>
      </c>
      <c r="M80" s="300" t="n">
        <v>100</v>
      </c>
      <c r="N80" s="301" t="n">
        <v>100</v>
      </c>
      <c r="O80" s="16" t="inlineStr">
        <is>
          <t>Virgin Kraft</t>
        </is>
      </c>
      <c r="P80" s="17" t="n">
        <v>230</v>
      </c>
      <c r="Q80" s="17" t="n"/>
      <c r="R80" s="17" t="n"/>
      <c r="S80" s="455" t="n">
        <v>43</v>
      </c>
      <c r="T80" s="150">
        <f>(M80+N80+15)/25.4</f>
        <v/>
      </c>
      <c r="U80" s="150">
        <f>(L80+M80+L80+M80+60)/25.4</f>
        <v/>
      </c>
      <c r="V80" s="903">
        <f>((T81*U81*P80)/1550)/1000</f>
        <v/>
      </c>
      <c r="W80" s="903">
        <f>V80*S80</f>
        <v/>
      </c>
      <c r="X80" s="903">
        <f>(V80*3%)</f>
        <v/>
      </c>
      <c r="Y80" s="903">
        <f>X80*S80</f>
        <v/>
      </c>
      <c r="Z80" s="903">
        <f>W80+Y80</f>
        <v/>
      </c>
      <c r="AA80" s="903" t="n">
        <v>6.85</v>
      </c>
      <c r="AB80" s="903">
        <f>(V80+X80)*AA80</f>
        <v/>
      </c>
      <c r="AC80" s="650">
        <f>0.5/3</f>
        <v/>
      </c>
      <c r="AD80" s="650" t="n">
        <v>0</v>
      </c>
      <c r="AE80" s="650" t="n">
        <v>0</v>
      </c>
      <c r="AF80" s="650">
        <f>AB80+AC80+AD80+AE80</f>
        <v/>
      </c>
      <c r="AG80" s="650">
        <f>0.1/3</f>
        <v/>
      </c>
      <c r="AH80" s="650">
        <f>(Z80+AF80+AG80)*10%</f>
        <v/>
      </c>
      <c r="AI80" s="650" t="n">
        <v>0</v>
      </c>
      <c r="AJ80" s="864">
        <f>Z80+AF80+AG80+AH80-AI80</f>
        <v/>
      </c>
      <c r="AK80" s="505">
        <f>AJ80+AJ81+AJ82</f>
        <v/>
      </c>
    </row>
    <row r="81">
      <c r="A81" s="706" t="n">
        <v>25</v>
      </c>
      <c r="B81" s="299" t="n">
        <v>46266</v>
      </c>
      <c r="C81" s="706" t="inlineStr">
        <is>
          <t>SKE</t>
        </is>
      </c>
      <c r="D81" s="706" t="n"/>
      <c r="E81" s="1026" t="inlineStr">
        <is>
          <t>Inlay Universal Box &lt; 300 mm- 3 Ply 560 GSM</t>
        </is>
      </c>
      <c r="F81" s="706" t="inlineStr">
        <is>
          <t>B</t>
        </is>
      </c>
      <c r="G81" s="706" t="n">
        <v>0</v>
      </c>
      <c r="H81" s="706" t="inlineStr">
        <is>
          <t>3 Ply</t>
        </is>
      </c>
      <c r="I81" s="706" t="inlineStr">
        <is>
          <t>KEL</t>
        </is>
      </c>
      <c r="J81" s="706" t="inlineStr">
        <is>
          <t>&lt; 300 mm</t>
        </is>
      </c>
      <c r="K81" s="706" t="inlineStr">
        <is>
          <t>U</t>
        </is>
      </c>
      <c r="L81" s="300" t="n"/>
      <c r="M81" s="300" t="n"/>
      <c r="N81" s="301" t="n"/>
      <c r="O81" s="16" t="inlineStr">
        <is>
          <t>Semi Kraft</t>
        </is>
      </c>
      <c r="P81" s="17" t="n">
        <v>150</v>
      </c>
      <c r="Q81" s="17" t="n"/>
      <c r="R81" s="17" t="n"/>
      <c r="S81" s="455" t="n">
        <v>41</v>
      </c>
      <c r="T81" s="293">
        <f>IF(MOD(ROUNDUP(T80,0),2)=1,ROUNDUP(T80,0)+1,ROUNDUP(T80,0))</f>
        <v/>
      </c>
      <c r="U81" s="293">
        <f>CEILING($U80,0.5)</f>
        <v/>
      </c>
      <c r="V81" s="903">
        <f>((T81*U81*P81*1.45)/1550)/1000</f>
        <v/>
      </c>
      <c r="W81" s="903">
        <f>V81*S81</f>
        <v/>
      </c>
      <c r="X81" s="903">
        <f>(V81*3%)</f>
        <v/>
      </c>
      <c r="Y81" s="903">
        <f>X81*S81</f>
        <v/>
      </c>
      <c r="Z81" s="903">
        <f>W81+Y81</f>
        <v/>
      </c>
      <c r="AA81" s="903" t="n">
        <v>6.85</v>
      </c>
      <c r="AB81" s="903">
        <f>(V81+X81)*AA81</f>
        <v/>
      </c>
      <c r="AC81" s="650">
        <f>0.5/3</f>
        <v/>
      </c>
      <c r="AD81" s="650" t="n">
        <v>0</v>
      </c>
      <c r="AE81" s="650" t="n">
        <v>0</v>
      </c>
      <c r="AF81" s="650">
        <f>AB81+AC81+AD81+AE81</f>
        <v/>
      </c>
      <c r="AG81" s="650">
        <f>0.1/3</f>
        <v/>
      </c>
      <c r="AH81" s="650">
        <f>(Z81+AF81+AG81)*10%</f>
        <v/>
      </c>
      <c r="AI81" s="650" t="n">
        <v>0</v>
      </c>
      <c r="AJ81" s="864">
        <f>Z81+AF81+AG81+AH81-AI81</f>
        <v/>
      </c>
      <c r="AK81" s="505" t="inlineStr">
        <is>
          <t>ok</t>
        </is>
      </c>
    </row>
    <row r="82">
      <c r="A82" s="706" t="n">
        <v>25</v>
      </c>
      <c r="B82" s="299" t="n">
        <v>46266</v>
      </c>
      <c r="C82" s="706" t="inlineStr">
        <is>
          <t>SKE</t>
        </is>
      </c>
      <c r="D82" s="706" t="n"/>
      <c r="E82" s="1026" t="inlineStr">
        <is>
          <t>Inlay Universal Box &lt; 300 mm- 3 Ply 560 GSM</t>
        </is>
      </c>
      <c r="F82" s="706" t="inlineStr">
        <is>
          <t>B</t>
        </is>
      </c>
      <c r="G82" s="706" t="n">
        <v>0</v>
      </c>
      <c r="H82" s="706" t="inlineStr">
        <is>
          <t>3 Ply</t>
        </is>
      </c>
      <c r="I82" s="706" t="inlineStr">
        <is>
          <t>KEL</t>
        </is>
      </c>
      <c r="J82" s="706" t="inlineStr">
        <is>
          <t>&lt; 300 mm</t>
        </is>
      </c>
      <c r="K82" s="706" t="inlineStr">
        <is>
          <t>U</t>
        </is>
      </c>
      <c r="L82" s="300" t="n"/>
      <c r="M82" s="300" t="n"/>
      <c r="N82" s="301" t="n"/>
      <c r="O82" s="16" t="inlineStr">
        <is>
          <t>Virgin Kraft</t>
        </is>
      </c>
      <c r="P82" s="17" t="n">
        <v>180</v>
      </c>
      <c r="Q82" s="17" t="n"/>
      <c r="R82" s="17" t="n"/>
      <c r="S82" s="455" t="n">
        <v>43</v>
      </c>
      <c r="T82" s="61">
        <f>T81</f>
        <v/>
      </c>
      <c r="U82" s="61">
        <f>U81</f>
        <v/>
      </c>
      <c r="V82" s="903">
        <f>((T82*U82*P82)/1550)/1000</f>
        <v/>
      </c>
      <c r="W82" s="903">
        <f>V82*S82</f>
        <v/>
      </c>
      <c r="X82" s="903">
        <f>(V82*3%)</f>
        <v/>
      </c>
      <c r="Y82" s="903">
        <f>X82*S82</f>
        <v/>
      </c>
      <c r="Z82" s="903">
        <f>W82+Y82</f>
        <v/>
      </c>
      <c r="AA82" s="903" t="n">
        <v>6.85</v>
      </c>
      <c r="AB82" s="903">
        <f>(V82+X82)*AA82</f>
        <v/>
      </c>
      <c r="AC82" s="650">
        <f>0.5/3</f>
        <v/>
      </c>
      <c r="AD82" s="650" t="n">
        <v>0</v>
      </c>
      <c r="AE82" s="650" t="n">
        <v>0</v>
      </c>
      <c r="AF82" s="650">
        <f>AB82+AC82+AD82+AE82</f>
        <v/>
      </c>
      <c r="AG82" s="650">
        <f>0.1/3</f>
        <v/>
      </c>
      <c r="AH82" s="650">
        <f>(Z82+AF82+AG82)*10%</f>
        <v/>
      </c>
      <c r="AI82" s="650" t="n">
        <v>0</v>
      </c>
      <c r="AJ82" s="864">
        <f>Z82+AF82+AG82+AH82-AI82</f>
        <v/>
      </c>
      <c r="AK82" s="505" t="n"/>
    </row>
    <row r="83" ht="15" customHeight="1">
      <c r="A83" s="706" t="n">
        <v>26</v>
      </c>
      <c r="B83" s="299" t="n">
        <v>46266</v>
      </c>
      <c r="C83" s="706" t="inlineStr">
        <is>
          <t>SKE</t>
        </is>
      </c>
      <c r="D83" s="706" t="n"/>
      <c r="E83" s="1026" t="inlineStr">
        <is>
          <t>Inlay Universal Box &gt; 300 mm- 3 Ply 560 GSM</t>
        </is>
      </c>
      <c r="F83" s="706" t="inlineStr">
        <is>
          <t>B</t>
        </is>
      </c>
      <c r="G83" s="706" t="n">
        <v>0</v>
      </c>
      <c r="H83" s="706" t="inlineStr">
        <is>
          <t>3 Ply</t>
        </is>
      </c>
      <c r="I83" s="706" t="inlineStr">
        <is>
          <t>KEL</t>
        </is>
      </c>
      <c r="J83" s="706" t="inlineStr">
        <is>
          <t>&gt; 300 mm</t>
        </is>
      </c>
      <c r="K83" s="706" t="inlineStr">
        <is>
          <t>U</t>
        </is>
      </c>
      <c r="L83" s="300" t="n">
        <v>100</v>
      </c>
      <c r="M83" s="300" t="n">
        <v>100</v>
      </c>
      <c r="N83" s="301" t="n">
        <v>100</v>
      </c>
      <c r="O83" s="16" t="inlineStr">
        <is>
          <t>Virgin Kraft</t>
        </is>
      </c>
      <c r="P83" s="17" t="n">
        <v>230</v>
      </c>
      <c r="Q83" s="17" t="n"/>
      <c r="R83" s="17" t="n"/>
      <c r="S83" s="455" t="n">
        <v>43</v>
      </c>
      <c r="T83" s="152">
        <f>(M83+N83+10)/25.4</f>
        <v/>
      </c>
      <c r="U83" s="152">
        <f>((L83+M83+55)*2)/25.4</f>
        <v/>
      </c>
      <c r="V83" s="903">
        <f>((T84*U84*P83)/1550)/1000</f>
        <v/>
      </c>
      <c r="W83" s="903">
        <f>V83*S83</f>
        <v/>
      </c>
      <c r="X83" s="903">
        <f>(V83*3%)</f>
        <v/>
      </c>
      <c r="Y83" s="903">
        <f>X83*S83</f>
        <v/>
      </c>
      <c r="Z83" s="903">
        <f>W83+Y83</f>
        <v/>
      </c>
      <c r="AA83" s="903" t="n">
        <v>6.85</v>
      </c>
      <c r="AB83" s="903">
        <f>(V83+X83)*AA83</f>
        <v/>
      </c>
      <c r="AC83" s="650">
        <f>0.5/3</f>
        <v/>
      </c>
      <c r="AD83" s="650" t="n">
        <v>0</v>
      </c>
      <c r="AE83" s="650" t="n">
        <v>0</v>
      </c>
      <c r="AF83" s="650">
        <f>AB83+AC83+AD83+AE83</f>
        <v/>
      </c>
      <c r="AG83" s="650">
        <f>0.1/3</f>
        <v/>
      </c>
      <c r="AH83" s="650">
        <f>(Z83+AF83+AG83)*10%</f>
        <v/>
      </c>
      <c r="AI83" s="650" t="n">
        <v>0</v>
      </c>
      <c r="AJ83" s="864">
        <f>Z83+AF83+AG83+AH83-AI83</f>
        <v/>
      </c>
      <c r="AK83" s="505">
        <f>AJ83+AJ84+AJ85</f>
        <v/>
      </c>
    </row>
    <row r="84">
      <c r="A84" s="706" t="n">
        <v>26</v>
      </c>
      <c r="B84" s="299" t="n">
        <v>46266</v>
      </c>
      <c r="C84" s="706" t="inlineStr">
        <is>
          <t>SKE</t>
        </is>
      </c>
      <c r="D84" s="706" t="n"/>
      <c r="E84" s="1026" t="inlineStr">
        <is>
          <t>Inlay Universal Box &gt; 300 mm- 3 Ply 560 GSM</t>
        </is>
      </c>
      <c r="F84" s="706" t="inlineStr">
        <is>
          <t>B</t>
        </is>
      </c>
      <c r="G84" s="706" t="n">
        <v>0</v>
      </c>
      <c r="H84" s="706" t="inlineStr">
        <is>
          <t>3 Ply</t>
        </is>
      </c>
      <c r="I84" s="706" t="inlineStr">
        <is>
          <t>KEL</t>
        </is>
      </c>
      <c r="J84" s="706" t="inlineStr">
        <is>
          <t>&gt; 300 mm</t>
        </is>
      </c>
      <c r="K84" s="706" t="inlineStr">
        <is>
          <t>U</t>
        </is>
      </c>
      <c r="L84" s="300" t="n"/>
      <c r="M84" s="300" t="n"/>
      <c r="N84" s="301" t="n"/>
      <c r="O84" s="16" t="inlineStr">
        <is>
          <t>Semi Kraft</t>
        </is>
      </c>
      <c r="P84" s="17" t="n">
        <v>150</v>
      </c>
      <c r="Q84" s="17" t="n"/>
      <c r="R84" s="17" t="n"/>
      <c r="S84" s="455" t="n">
        <v>41</v>
      </c>
      <c r="T84" s="293">
        <f>IF(MOD(ROUNDUP(T83,0),2)=1,ROUNDUP(T83,0)+1,ROUNDUP(T83,0))</f>
        <v/>
      </c>
      <c r="U84" s="293">
        <f>CEILING($U83,0.5)</f>
        <v/>
      </c>
      <c r="V84" s="903">
        <f>((T84*U84*P84*1.45)/1550)/1000</f>
        <v/>
      </c>
      <c r="W84" s="903">
        <f>V84*S84</f>
        <v/>
      </c>
      <c r="X84" s="903">
        <f>(V84*3%)</f>
        <v/>
      </c>
      <c r="Y84" s="903">
        <f>X84*S84</f>
        <v/>
      </c>
      <c r="Z84" s="903">
        <f>W84+Y84</f>
        <v/>
      </c>
      <c r="AA84" s="903" t="n">
        <v>6.85</v>
      </c>
      <c r="AB84" s="903">
        <f>(V84+X84)*AA84</f>
        <v/>
      </c>
      <c r="AC84" s="650">
        <f>0.5/3</f>
        <v/>
      </c>
      <c r="AD84" s="650" t="n">
        <v>0</v>
      </c>
      <c r="AE84" s="650" t="n">
        <v>0</v>
      </c>
      <c r="AF84" s="650">
        <f>AB84+AC84+AD84+AE84</f>
        <v/>
      </c>
      <c r="AG84" s="650">
        <f>0.1/3</f>
        <v/>
      </c>
      <c r="AH84" s="650">
        <f>(Z84+AF84+AG84)*10%</f>
        <v/>
      </c>
      <c r="AI84" s="650" t="n">
        <v>0</v>
      </c>
      <c r="AJ84" s="864">
        <f>Z84+AF84+AG84+AH84-AI84</f>
        <v/>
      </c>
      <c r="AK84" s="505" t="inlineStr">
        <is>
          <t>ok</t>
        </is>
      </c>
    </row>
    <row r="85">
      <c r="A85" s="706" t="n">
        <v>26</v>
      </c>
      <c r="B85" s="299" t="n">
        <v>46266</v>
      </c>
      <c r="C85" s="706" t="inlineStr">
        <is>
          <t>SKE</t>
        </is>
      </c>
      <c r="D85" s="706" t="n"/>
      <c r="E85" s="1026" t="inlineStr">
        <is>
          <t>Inlay Universal Box &gt; 300 mm- 3 Ply 560 GSM</t>
        </is>
      </c>
      <c r="F85" s="706" t="inlineStr">
        <is>
          <t>B</t>
        </is>
      </c>
      <c r="G85" s="706" t="n">
        <v>0</v>
      </c>
      <c r="H85" s="706" t="inlineStr">
        <is>
          <t>3 Ply</t>
        </is>
      </c>
      <c r="I85" s="706" t="inlineStr">
        <is>
          <t>KEL</t>
        </is>
      </c>
      <c r="J85" s="706" t="inlineStr">
        <is>
          <t>&gt; 300 mm</t>
        </is>
      </c>
      <c r="K85" s="706" t="inlineStr">
        <is>
          <t>U</t>
        </is>
      </c>
      <c r="L85" s="300" t="n"/>
      <c r="M85" s="300" t="n"/>
      <c r="N85" s="301" t="n"/>
      <c r="O85" s="16" t="inlineStr">
        <is>
          <t>Virgin Kraft</t>
        </is>
      </c>
      <c r="P85" s="17" t="n">
        <v>180</v>
      </c>
      <c r="Q85" s="17" t="n"/>
      <c r="R85" s="17" t="n"/>
      <c r="S85" s="455" t="n">
        <v>43</v>
      </c>
      <c r="T85" s="61">
        <f>T84</f>
        <v/>
      </c>
      <c r="U85" s="61">
        <f>U84</f>
        <v/>
      </c>
      <c r="V85" s="903">
        <f>((T85*U85*P85)/1550)/1000</f>
        <v/>
      </c>
      <c r="W85" s="903">
        <f>V85*S85</f>
        <v/>
      </c>
      <c r="X85" s="903">
        <f>(V85*3%)</f>
        <v/>
      </c>
      <c r="Y85" s="903">
        <f>X85*S85</f>
        <v/>
      </c>
      <c r="Z85" s="903">
        <f>W85+Y85</f>
        <v/>
      </c>
      <c r="AA85" s="903" t="n">
        <v>6.85</v>
      </c>
      <c r="AB85" s="903">
        <f>(V85+X85)*AA85</f>
        <v/>
      </c>
      <c r="AC85" s="650">
        <f>0.5/3</f>
        <v/>
      </c>
      <c r="AD85" s="650" t="n">
        <v>0</v>
      </c>
      <c r="AE85" s="650" t="n">
        <v>0</v>
      </c>
      <c r="AF85" s="650">
        <f>AB85+AC85+AD85+AE85</f>
        <v/>
      </c>
      <c r="AG85" s="650">
        <f>0.1/3</f>
        <v/>
      </c>
      <c r="AH85" s="650">
        <f>(Z85+AF85+AG85)*10%</f>
        <v/>
      </c>
      <c r="AI85" s="650" t="n">
        <v>0</v>
      </c>
      <c r="AJ85" s="864">
        <f>Z85+AF85+AG85+AH85-AI85</f>
        <v/>
      </c>
      <c r="AK85" s="505" t="n"/>
    </row>
    <row r="86" ht="15" customHeight="1">
      <c r="A86" s="706" t="n">
        <v>27</v>
      </c>
      <c r="B86" s="299" t="n">
        <v>46266</v>
      </c>
      <c r="C86" s="706" t="inlineStr">
        <is>
          <t>SKE</t>
        </is>
      </c>
      <c r="D86" s="706" t="n"/>
      <c r="E86" s="1026" t="inlineStr">
        <is>
          <t>Inlay Interlock Box- 3 Ply 560 GSM</t>
        </is>
      </c>
      <c r="F86" s="706" t="inlineStr">
        <is>
          <t>B</t>
        </is>
      </c>
      <c r="G86" s="706" t="n">
        <v>0</v>
      </c>
      <c r="H86" s="706" t="inlineStr">
        <is>
          <t>3 Ply</t>
        </is>
      </c>
      <c r="I86" s="706" t="inlineStr">
        <is>
          <t>KEL</t>
        </is>
      </c>
      <c r="J86" s="706" t="n"/>
      <c r="K86" s="706" t="inlineStr">
        <is>
          <t>I</t>
        </is>
      </c>
      <c r="L86" s="300" t="n">
        <v>100</v>
      </c>
      <c r="M86" s="300" t="n">
        <v>100</v>
      </c>
      <c r="N86" s="301" t="n">
        <v>100</v>
      </c>
      <c r="O86" s="16" t="inlineStr">
        <is>
          <t>Virgin Kraft</t>
        </is>
      </c>
      <c r="P86" s="17" t="n">
        <v>230</v>
      </c>
      <c r="Q86" s="17" t="n"/>
      <c r="R86" s="17" t="n"/>
      <c r="S86" s="455" t="n">
        <v>43</v>
      </c>
      <c r="T86" s="150">
        <f>((M86+N86+25)+(M86*70%+20))/25.4</f>
        <v/>
      </c>
      <c r="U86" s="150">
        <f>((L86+M86+30)*2)/25.4</f>
        <v/>
      </c>
      <c r="V86" s="903">
        <f>((T87*U87*P86)/1550)/1000</f>
        <v/>
      </c>
      <c r="W86" s="903">
        <f>V86*S86</f>
        <v/>
      </c>
      <c r="X86" s="903">
        <f>(V86*3%)</f>
        <v/>
      </c>
      <c r="Y86" s="903">
        <f>X86*S86</f>
        <v/>
      </c>
      <c r="Z86" s="903">
        <f>W86+Y86</f>
        <v/>
      </c>
      <c r="AA86" s="903" t="n">
        <v>6.85</v>
      </c>
      <c r="AB86" s="903">
        <f>(V86+X86)*AA86</f>
        <v/>
      </c>
      <c r="AC86" s="650">
        <f>0.5/3</f>
        <v/>
      </c>
      <c r="AD86" s="650" t="n">
        <v>0</v>
      </c>
      <c r="AE86" s="650" t="n">
        <v>0</v>
      </c>
      <c r="AF86" s="650">
        <f>AB86+AC86+AD86+AE86</f>
        <v/>
      </c>
      <c r="AG86" s="650">
        <f>0.1/3</f>
        <v/>
      </c>
      <c r="AH86" s="650">
        <f>(Z86+AF86+AG86)*10%</f>
        <v/>
      </c>
      <c r="AI86" s="650" t="n">
        <v>0</v>
      </c>
      <c r="AJ86" s="864">
        <f>Z86+AF86+AG86+AH86-AI86</f>
        <v/>
      </c>
      <c r="AK86" s="505">
        <f>AJ86+AJ87+AJ88</f>
        <v/>
      </c>
    </row>
    <row r="87">
      <c r="A87" s="706" t="n">
        <v>27</v>
      </c>
      <c r="B87" s="299" t="n">
        <v>46266</v>
      </c>
      <c r="C87" s="706" t="inlineStr">
        <is>
          <t>SKE</t>
        </is>
      </c>
      <c r="D87" s="706" t="n"/>
      <c r="E87" s="1026" t="inlineStr">
        <is>
          <t>Inlay Interlock Box- 3 Ply 560 GSM</t>
        </is>
      </c>
      <c r="F87" s="706" t="inlineStr">
        <is>
          <t>B</t>
        </is>
      </c>
      <c r="G87" s="706" t="n">
        <v>0</v>
      </c>
      <c r="H87" s="706" t="inlineStr">
        <is>
          <t>3 Ply</t>
        </is>
      </c>
      <c r="I87" s="706" t="inlineStr">
        <is>
          <t>KEL</t>
        </is>
      </c>
      <c r="J87" s="706" t="n"/>
      <c r="K87" s="706" t="inlineStr">
        <is>
          <t>I</t>
        </is>
      </c>
      <c r="L87" s="300" t="n"/>
      <c r="M87" s="300" t="n"/>
      <c r="N87" s="301" t="n"/>
      <c r="O87" s="16" t="inlineStr">
        <is>
          <t>Semi Kraft</t>
        </is>
      </c>
      <c r="P87" s="17" t="n">
        <v>150</v>
      </c>
      <c r="Q87" s="17" t="n"/>
      <c r="R87" s="17" t="n"/>
      <c r="S87" s="455" t="n">
        <v>41</v>
      </c>
      <c r="T87" s="293">
        <f>IF(MOD(ROUNDUP(T86,0),2)=1,ROUNDUP(T86,0)+1,ROUNDUP(T86,0))</f>
        <v/>
      </c>
      <c r="U87" s="293">
        <f>CEILING($U86,0.5)</f>
        <v/>
      </c>
      <c r="V87" s="903">
        <f>((T87*U87*P87*1.45)/1550)/1000</f>
        <v/>
      </c>
      <c r="W87" s="903">
        <f>V87*S87</f>
        <v/>
      </c>
      <c r="X87" s="903">
        <f>(V87*3%)</f>
        <v/>
      </c>
      <c r="Y87" s="903">
        <f>X87*S87</f>
        <v/>
      </c>
      <c r="Z87" s="903">
        <f>W87+Y87</f>
        <v/>
      </c>
      <c r="AA87" s="903" t="n">
        <v>6.85</v>
      </c>
      <c r="AB87" s="903">
        <f>(V87+X87)*AA87</f>
        <v/>
      </c>
      <c r="AC87" s="650">
        <f>0.5/3</f>
        <v/>
      </c>
      <c r="AD87" s="650" t="n">
        <v>0</v>
      </c>
      <c r="AE87" s="650" t="n">
        <v>0</v>
      </c>
      <c r="AF87" s="650">
        <f>AB87+AC87+AD87+AE87</f>
        <v/>
      </c>
      <c r="AG87" s="650">
        <f>0.1/3</f>
        <v/>
      </c>
      <c r="AH87" s="650">
        <f>(Z87+AF87+AG87)*10%</f>
        <v/>
      </c>
      <c r="AI87" s="650" t="n">
        <v>0</v>
      </c>
      <c r="AJ87" s="864">
        <f>Z87+AF87+AG87+AH87-AI87</f>
        <v/>
      </c>
      <c r="AK87" s="505" t="inlineStr">
        <is>
          <t>ok</t>
        </is>
      </c>
    </row>
    <row r="88">
      <c r="A88" s="706" t="n">
        <v>27</v>
      </c>
      <c r="B88" s="299" t="n">
        <v>46266</v>
      </c>
      <c r="C88" s="706" t="inlineStr">
        <is>
          <t>SKE</t>
        </is>
      </c>
      <c r="D88" s="706" t="n"/>
      <c r="E88" s="1026" t="inlineStr">
        <is>
          <t>Inlay Interlock Box- 3 Ply 560 GSM</t>
        </is>
      </c>
      <c r="F88" s="706" t="inlineStr">
        <is>
          <t>B</t>
        </is>
      </c>
      <c r="G88" s="706" t="n">
        <v>0</v>
      </c>
      <c r="H88" s="706" t="inlineStr">
        <is>
          <t>3 Ply</t>
        </is>
      </c>
      <c r="I88" s="706" t="inlineStr">
        <is>
          <t>KEL</t>
        </is>
      </c>
      <c r="J88" s="706" t="n"/>
      <c r="K88" s="706" t="inlineStr">
        <is>
          <t>I</t>
        </is>
      </c>
      <c r="L88" s="300" t="n"/>
      <c r="M88" s="300" t="n"/>
      <c r="N88" s="301" t="n"/>
      <c r="O88" s="16" t="inlineStr">
        <is>
          <t>Virgin Kraft</t>
        </is>
      </c>
      <c r="P88" s="17" t="n">
        <v>180</v>
      </c>
      <c r="Q88" s="17" t="n"/>
      <c r="R88" s="17" t="n"/>
      <c r="S88" s="455" t="n">
        <v>43</v>
      </c>
      <c r="T88" s="61">
        <f>T87</f>
        <v/>
      </c>
      <c r="U88" s="61">
        <f>U87</f>
        <v/>
      </c>
      <c r="V88" s="903">
        <f>((T88*U88*P88)/1550)/1000</f>
        <v/>
      </c>
      <c r="W88" s="903">
        <f>V88*S88</f>
        <v/>
      </c>
      <c r="X88" s="903">
        <f>(V88*3%)</f>
        <v/>
      </c>
      <c r="Y88" s="903">
        <f>X88*S88</f>
        <v/>
      </c>
      <c r="Z88" s="903">
        <f>W88+Y88</f>
        <v/>
      </c>
      <c r="AA88" s="903" t="n">
        <v>6.85</v>
      </c>
      <c r="AB88" s="903">
        <f>(V88+X88)*AA88</f>
        <v/>
      </c>
      <c r="AC88" s="650">
        <f>0.5/3</f>
        <v/>
      </c>
      <c r="AD88" s="650" t="n">
        <v>0</v>
      </c>
      <c r="AE88" s="650" t="n">
        <v>0</v>
      </c>
      <c r="AF88" s="650">
        <f>AB88+AC88+AD88+AE88</f>
        <v/>
      </c>
      <c r="AG88" s="650">
        <f>0.1/3</f>
        <v/>
      </c>
      <c r="AH88" s="650">
        <f>(Z88+AF88+AG88)*10%</f>
        <v/>
      </c>
      <c r="AI88" s="650" t="n">
        <v>0</v>
      </c>
      <c r="AJ88" s="864">
        <f>Z88+AF88+AG88+AH88-AI88</f>
        <v/>
      </c>
      <c r="AK88" s="505" t="n"/>
    </row>
    <row r="89" ht="15" customHeight="1">
      <c r="A89" s="706" t="n">
        <v>28</v>
      </c>
      <c r="B89" s="299" t="n">
        <v>46266</v>
      </c>
      <c r="C89" s="706" t="inlineStr">
        <is>
          <t>SKE</t>
        </is>
      </c>
      <c r="D89" s="706" t="n"/>
      <c r="E89" s="1026" t="inlineStr">
        <is>
          <t>Brown Box Interlock - 3 Ply 560 GSM</t>
        </is>
      </c>
      <c r="F89" s="706" t="inlineStr">
        <is>
          <t>B</t>
        </is>
      </c>
      <c r="G89" s="706" t="n">
        <v>0</v>
      </c>
      <c r="H89" s="706" t="inlineStr">
        <is>
          <t>3 Ply</t>
        </is>
      </c>
      <c r="I89" s="706" t="inlineStr">
        <is>
          <t>KRTB</t>
        </is>
      </c>
      <c r="J89" s="706" t="n"/>
      <c r="K89" s="706" t="inlineStr">
        <is>
          <t>I</t>
        </is>
      </c>
      <c r="L89" s="1028" t="n">
        <v>100</v>
      </c>
      <c r="M89" s="1028" t="n">
        <v>100</v>
      </c>
      <c r="N89" s="1029" t="n">
        <v>100</v>
      </c>
      <c r="O89" s="16" t="inlineStr">
        <is>
          <t>Virgin Kraft</t>
        </is>
      </c>
      <c r="P89" s="17" t="n">
        <v>230</v>
      </c>
      <c r="Q89" s="17" t="n"/>
      <c r="R89" s="17" t="n"/>
      <c r="S89" s="455" t="n">
        <v>43</v>
      </c>
      <c r="T89" s="150">
        <f>((M89+N89+25)+(M89*70%+20))/25.4</f>
        <v/>
      </c>
      <c r="U89" s="150">
        <f>((L89+M89+30)*2)/25.4</f>
        <v/>
      </c>
      <c r="V89" s="903">
        <f>((T90*U90*P89)/1550)/1000</f>
        <v/>
      </c>
      <c r="W89" s="903">
        <f>V89*S89</f>
        <v/>
      </c>
      <c r="X89" s="903">
        <f>(V89*3%)</f>
        <v/>
      </c>
      <c r="Y89" s="903">
        <f>X89*S89</f>
        <v/>
      </c>
      <c r="Z89" s="903">
        <f>W89+Y89</f>
        <v/>
      </c>
      <c r="AA89" s="903" t="n">
        <v>6.85</v>
      </c>
      <c r="AB89" s="903">
        <f>(V89+X89)*AA89</f>
        <v/>
      </c>
      <c r="AC89" s="650">
        <f>0.5/3</f>
        <v/>
      </c>
      <c r="AD89" s="650" t="n">
        <v>0</v>
      </c>
      <c r="AE89" s="650" t="n">
        <v>0</v>
      </c>
      <c r="AF89" s="650">
        <f>AB89+AC89+AD89+AE89</f>
        <v/>
      </c>
      <c r="AG89" s="650">
        <f>0.1/3</f>
        <v/>
      </c>
      <c r="AH89" s="650">
        <f>(Z89+AF89+AG89)*10%</f>
        <v/>
      </c>
      <c r="AI89" s="650" t="n">
        <v>0</v>
      </c>
      <c r="AJ89" s="864">
        <f>Z89+AF89+AG89+AH89-AI89</f>
        <v/>
      </c>
      <c r="AK89" s="505">
        <f>AJ89+AJ90+AJ91</f>
        <v/>
      </c>
    </row>
    <row r="90">
      <c r="A90" s="706" t="n">
        <v>28</v>
      </c>
      <c r="B90" s="299" t="n">
        <v>46266</v>
      </c>
      <c r="C90" s="706" t="inlineStr">
        <is>
          <t>SKE</t>
        </is>
      </c>
      <c r="D90" s="706" t="n"/>
      <c r="E90" s="1026" t="inlineStr">
        <is>
          <t>Brown Box Interlock - 3 Ply 560 GSM</t>
        </is>
      </c>
      <c r="F90" s="706" t="inlineStr">
        <is>
          <t>B</t>
        </is>
      </c>
      <c r="G90" s="706" t="n">
        <v>0</v>
      </c>
      <c r="H90" s="706" t="inlineStr">
        <is>
          <t>3 Ply</t>
        </is>
      </c>
      <c r="I90" s="706" t="inlineStr">
        <is>
          <t>KRTB</t>
        </is>
      </c>
      <c r="J90" s="706" t="n"/>
      <c r="K90" s="706" t="inlineStr">
        <is>
          <t>I</t>
        </is>
      </c>
      <c r="L90" s="300" t="n"/>
      <c r="M90" s="300" t="n"/>
      <c r="N90" s="301" t="n"/>
      <c r="O90" s="16" t="inlineStr">
        <is>
          <t>Semi Kraft</t>
        </is>
      </c>
      <c r="P90" s="17" t="n">
        <v>150</v>
      </c>
      <c r="Q90" s="17" t="n"/>
      <c r="R90" s="17" t="n"/>
      <c r="S90" s="455" t="n">
        <v>41</v>
      </c>
      <c r="T90" s="293">
        <f>IF(MOD(ROUNDUP(T89,0),2)=1,ROUNDUP(T89,0)+1,ROUNDUP(T89,0))</f>
        <v/>
      </c>
      <c r="U90" s="293">
        <f>CEILING($U89,0.5)</f>
        <v/>
      </c>
      <c r="V90" s="903">
        <f>((T90*U90*P90*1.45)/1550)/1000</f>
        <v/>
      </c>
      <c r="W90" s="903">
        <f>V90*S90</f>
        <v/>
      </c>
      <c r="X90" s="903">
        <f>(V90*3%)</f>
        <v/>
      </c>
      <c r="Y90" s="903">
        <f>X90*S90</f>
        <v/>
      </c>
      <c r="Z90" s="903">
        <f>W90+Y90</f>
        <v/>
      </c>
      <c r="AA90" s="903" t="n">
        <v>6.85</v>
      </c>
      <c r="AB90" s="903">
        <f>(V90+X90)*AA90</f>
        <v/>
      </c>
      <c r="AC90" s="650">
        <f>0.5/3</f>
        <v/>
      </c>
      <c r="AD90" s="650" t="n">
        <v>0</v>
      </c>
      <c r="AE90" s="650" t="n">
        <v>0</v>
      </c>
      <c r="AF90" s="650">
        <f>AB90+AC90+AD90+AE90</f>
        <v/>
      </c>
      <c r="AG90" s="650">
        <f>0.1/3</f>
        <v/>
      </c>
      <c r="AH90" s="650">
        <f>(Z90+AF90+AG90)*10%</f>
        <v/>
      </c>
      <c r="AI90" s="650" t="n">
        <v>0</v>
      </c>
      <c r="AJ90" s="864">
        <f>Z90+AF90+AG90+AH90-AI90</f>
        <v/>
      </c>
      <c r="AK90" s="505" t="inlineStr">
        <is>
          <t>ok</t>
        </is>
      </c>
    </row>
    <row r="91">
      <c r="A91" s="706" t="n">
        <v>28</v>
      </c>
      <c r="B91" s="299" t="n">
        <v>46266</v>
      </c>
      <c r="C91" s="706" t="inlineStr">
        <is>
          <t>SKE</t>
        </is>
      </c>
      <c r="D91" s="706" t="n"/>
      <c r="E91" s="1026" t="inlineStr">
        <is>
          <t>Brown Box Interlock - 3 Ply 560 GSM</t>
        </is>
      </c>
      <c r="F91" s="706" t="inlineStr">
        <is>
          <t>B</t>
        </is>
      </c>
      <c r="G91" s="706" t="n">
        <v>0</v>
      </c>
      <c r="H91" s="706" t="inlineStr">
        <is>
          <t>3 Ply</t>
        </is>
      </c>
      <c r="I91" s="706" t="inlineStr">
        <is>
          <t>KRTB</t>
        </is>
      </c>
      <c r="J91" s="706" t="n"/>
      <c r="K91" s="706" t="inlineStr">
        <is>
          <t>I</t>
        </is>
      </c>
      <c r="L91" s="300" t="n"/>
      <c r="M91" s="300" t="n"/>
      <c r="N91" s="301" t="n"/>
      <c r="O91" s="16" t="inlineStr">
        <is>
          <t>Virgin Kraft</t>
        </is>
      </c>
      <c r="P91" s="17" t="n">
        <v>180</v>
      </c>
      <c r="Q91" s="17" t="n"/>
      <c r="R91" s="17" t="n"/>
      <c r="S91" s="455" t="n">
        <v>43</v>
      </c>
      <c r="T91" s="61">
        <f>T90</f>
        <v/>
      </c>
      <c r="U91" s="61">
        <f>U90</f>
        <v/>
      </c>
      <c r="V91" s="903">
        <f>((T91*U91*P91)/1550)/1000</f>
        <v/>
      </c>
      <c r="W91" s="903">
        <f>V91*S91</f>
        <v/>
      </c>
      <c r="X91" s="903">
        <f>(V91*3%)</f>
        <v/>
      </c>
      <c r="Y91" s="903">
        <f>X91*S91</f>
        <v/>
      </c>
      <c r="Z91" s="903">
        <f>W91+Y91</f>
        <v/>
      </c>
      <c r="AA91" s="903" t="n">
        <v>6.85</v>
      </c>
      <c r="AB91" s="903">
        <f>(V91+X91)*AA91</f>
        <v/>
      </c>
      <c r="AC91" s="650">
        <f>0.5/3</f>
        <v/>
      </c>
      <c r="AD91" s="650" t="n">
        <v>0</v>
      </c>
      <c r="AE91" s="650" t="n">
        <v>0</v>
      </c>
      <c r="AF91" s="650">
        <f>AB91+AC91+AD91+AE91</f>
        <v/>
      </c>
      <c r="AG91" s="650">
        <f>0.1/3</f>
        <v/>
      </c>
      <c r="AH91" s="650">
        <f>(Z91+AF91+AG91)*10%</f>
        <v/>
      </c>
      <c r="AI91" s="650" t="n">
        <v>0</v>
      </c>
      <c r="AJ91" s="864">
        <f>Z91+AF91+AG91+AH91-AI91</f>
        <v/>
      </c>
      <c r="AK91" s="505" t="n"/>
    </row>
    <row r="92" ht="15" customHeight="1">
      <c r="A92" s="706" t="n">
        <v>29</v>
      </c>
      <c r="B92" s="299" t="n">
        <v>46266</v>
      </c>
      <c r="C92" s="706" t="inlineStr">
        <is>
          <t>SKE</t>
        </is>
      </c>
      <c r="D92" s="706" t="n"/>
      <c r="E92" s="1026" t="inlineStr">
        <is>
          <t>Brown Box Universal &lt; 300 mm- 3 Ply 560 GSM</t>
        </is>
      </c>
      <c r="F92" s="706" t="inlineStr">
        <is>
          <t>B</t>
        </is>
      </c>
      <c r="G92" s="706" t="n">
        <v>0</v>
      </c>
      <c r="H92" s="706" t="inlineStr">
        <is>
          <t>3 Ply</t>
        </is>
      </c>
      <c r="I92" s="706" t="inlineStr">
        <is>
          <t>KRTB</t>
        </is>
      </c>
      <c r="J92" s="706" t="inlineStr">
        <is>
          <t>&lt; 300 mm</t>
        </is>
      </c>
      <c r="K92" s="706" t="inlineStr">
        <is>
          <t>U</t>
        </is>
      </c>
      <c r="L92" s="300" t="n">
        <v>100</v>
      </c>
      <c r="M92" s="300" t="n">
        <v>100</v>
      </c>
      <c r="N92" s="301" t="n">
        <v>100</v>
      </c>
      <c r="O92" s="16" t="inlineStr">
        <is>
          <t>Virgin Kraft</t>
        </is>
      </c>
      <c r="P92" s="17" t="n">
        <v>230</v>
      </c>
      <c r="Q92" s="17" t="n"/>
      <c r="R92" s="17" t="n"/>
      <c r="S92" s="455" t="n">
        <v>43</v>
      </c>
      <c r="T92" s="150">
        <f>(M92+N92+10)/25.4</f>
        <v/>
      </c>
      <c r="U92" s="150">
        <f>((L92+M92)*2+55)/25.4</f>
        <v/>
      </c>
      <c r="V92" s="903">
        <f>((T93*U93*P92)/1550)/1000</f>
        <v/>
      </c>
      <c r="W92" s="903">
        <f>V92*S92</f>
        <v/>
      </c>
      <c r="X92" s="903">
        <f>(V92*3%)</f>
        <v/>
      </c>
      <c r="Y92" s="903">
        <f>X92*S92</f>
        <v/>
      </c>
      <c r="Z92" s="903">
        <f>W92+Y92</f>
        <v/>
      </c>
      <c r="AA92" s="903" t="n">
        <v>6.85</v>
      </c>
      <c r="AB92" s="903">
        <f>(V92+X92)*AA92</f>
        <v/>
      </c>
      <c r="AC92" s="650">
        <f>0.5/3</f>
        <v/>
      </c>
      <c r="AD92" s="650" t="n">
        <v>0</v>
      </c>
      <c r="AE92" s="650" t="n">
        <v>0</v>
      </c>
      <c r="AF92" s="650">
        <f>AB92+AC92+AD92+AE92</f>
        <v/>
      </c>
      <c r="AG92" s="650">
        <f>0.1/3</f>
        <v/>
      </c>
      <c r="AH92" s="650">
        <f>(Z92+AF92+AG92)*10%</f>
        <v/>
      </c>
      <c r="AI92" s="650" t="n">
        <v>0</v>
      </c>
      <c r="AJ92" s="864">
        <f>Z92+AF92+AG92+AH92-AI92</f>
        <v/>
      </c>
      <c r="AK92" s="505">
        <f>AJ92+AJ93+AJ94</f>
        <v/>
      </c>
    </row>
    <row r="93">
      <c r="A93" s="706" t="n">
        <v>29</v>
      </c>
      <c r="B93" s="299" t="n">
        <v>46266</v>
      </c>
      <c r="C93" s="706" t="inlineStr">
        <is>
          <t>SKE</t>
        </is>
      </c>
      <c r="D93" s="706" t="n"/>
      <c r="E93" s="1026" t="inlineStr">
        <is>
          <t>Brown Box Universal &lt; 300 mm- 3 Ply 560 GSM</t>
        </is>
      </c>
      <c r="F93" s="706" t="inlineStr">
        <is>
          <t>B</t>
        </is>
      </c>
      <c r="G93" s="706" t="n">
        <v>0</v>
      </c>
      <c r="H93" s="706" t="inlineStr">
        <is>
          <t>3 Ply</t>
        </is>
      </c>
      <c r="I93" s="706" t="inlineStr">
        <is>
          <t>KRTB</t>
        </is>
      </c>
      <c r="J93" s="706" t="inlineStr">
        <is>
          <t>&lt; 300 mm</t>
        </is>
      </c>
      <c r="K93" s="706" t="inlineStr">
        <is>
          <t>U</t>
        </is>
      </c>
      <c r="L93" s="300" t="n"/>
      <c r="M93" s="300" t="n"/>
      <c r="N93" s="301" t="n"/>
      <c r="O93" s="16" t="inlineStr">
        <is>
          <t>Semi Kraft</t>
        </is>
      </c>
      <c r="P93" s="17" t="n">
        <v>150</v>
      </c>
      <c r="Q93" s="17" t="n"/>
      <c r="R93" s="17" t="n"/>
      <c r="S93" s="455" t="n">
        <v>41</v>
      </c>
      <c r="T93" s="61">
        <f>ROUNDUP($T92,0)+0.2</f>
        <v/>
      </c>
      <c r="U93" s="61">
        <f>ROUNDUP($U92,0)+0.3</f>
        <v/>
      </c>
      <c r="V93" s="903">
        <f>((T93*U93*P93*1.45)/1550)/1000</f>
        <v/>
      </c>
      <c r="W93" s="903">
        <f>V93*S93</f>
        <v/>
      </c>
      <c r="X93" s="903">
        <f>(V93*3%)</f>
        <v/>
      </c>
      <c r="Y93" s="903">
        <f>X93*S93</f>
        <v/>
      </c>
      <c r="Z93" s="903">
        <f>W93+Y93</f>
        <v/>
      </c>
      <c r="AA93" s="903" t="n">
        <v>6.85</v>
      </c>
      <c r="AB93" s="903">
        <f>(V93+X93)*AA93</f>
        <v/>
      </c>
      <c r="AC93" s="650">
        <f>0.5/3</f>
        <v/>
      </c>
      <c r="AD93" s="650" t="n">
        <v>0</v>
      </c>
      <c r="AE93" s="650" t="n">
        <v>0</v>
      </c>
      <c r="AF93" s="650">
        <f>AB93+AC93+AD93+AE93</f>
        <v/>
      </c>
      <c r="AG93" s="650">
        <f>0.1/3</f>
        <v/>
      </c>
      <c r="AH93" s="650">
        <f>(Z93+AF93+AG93)*10%</f>
        <v/>
      </c>
      <c r="AI93" s="650" t="n">
        <v>0</v>
      </c>
      <c r="AJ93" s="864">
        <f>Z93+AF93+AG93+AH93-AI93</f>
        <v/>
      </c>
      <c r="AK93" s="505" t="inlineStr">
        <is>
          <t>ok</t>
        </is>
      </c>
    </row>
    <row r="94">
      <c r="A94" s="706" t="n">
        <v>29</v>
      </c>
      <c r="B94" s="299" t="n">
        <v>46266</v>
      </c>
      <c r="C94" s="706" t="inlineStr">
        <is>
          <t>SKE</t>
        </is>
      </c>
      <c r="D94" s="706" t="n"/>
      <c r="E94" s="1026" t="inlineStr">
        <is>
          <t>Brown Box Universal &lt; 300 mm- 3 Ply 560 GSM</t>
        </is>
      </c>
      <c r="F94" s="706" t="inlineStr">
        <is>
          <t>B</t>
        </is>
      </c>
      <c r="G94" s="706" t="n">
        <v>0</v>
      </c>
      <c r="H94" s="706" t="inlineStr">
        <is>
          <t>3 Ply</t>
        </is>
      </c>
      <c r="I94" s="706" t="inlineStr">
        <is>
          <t>KRTB</t>
        </is>
      </c>
      <c r="J94" s="706" t="inlineStr">
        <is>
          <t>&lt; 300 mm</t>
        </is>
      </c>
      <c r="K94" s="706" t="inlineStr">
        <is>
          <t>U</t>
        </is>
      </c>
      <c r="L94" s="300" t="n"/>
      <c r="M94" s="300" t="n"/>
      <c r="N94" s="301" t="n"/>
      <c r="O94" s="16" t="inlineStr">
        <is>
          <t>Virgin Kraft</t>
        </is>
      </c>
      <c r="P94" s="17" t="n">
        <v>180</v>
      </c>
      <c r="Q94" s="17" t="n"/>
      <c r="R94" s="17" t="n"/>
      <c r="S94" s="455" t="n">
        <v>43</v>
      </c>
      <c r="T94" s="61">
        <f>T93</f>
        <v/>
      </c>
      <c r="U94" s="61">
        <f>U93</f>
        <v/>
      </c>
      <c r="V94" s="903">
        <f>((T94*U94*P94)/1550)/1000</f>
        <v/>
      </c>
      <c r="W94" s="903">
        <f>V94*S94</f>
        <v/>
      </c>
      <c r="X94" s="903">
        <f>(V94*3%)</f>
        <v/>
      </c>
      <c r="Y94" s="903">
        <f>X94*S94</f>
        <v/>
      </c>
      <c r="Z94" s="903">
        <f>W94+Y94</f>
        <v/>
      </c>
      <c r="AA94" s="903" t="n">
        <v>6.85</v>
      </c>
      <c r="AB94" s="903">
        <f>(V94+X94)*AA94</f>
        <v/>
      </c>
      <c r="AC94" s="650">
        <f>0.5/3</f>
        <v/>
      </c>
      <c r="AD94" s="650" t="n">
        <v>0</v>
      </c>
      <c r="AE94" s="650" t="n">
        <v>0</v>
      </c>
      <c r="AF94" s="650">
        <f>AB94+AC94+AD94+AE94</f>
        <v/>
      </c>
      <c r="AG94" s="650">
        <f>0.1/3</f>
        <v/>
      </c>
      <c r="AH94" s="650">
        <f>(Z94+AF94+AG94)*10%</f>
        <v/>
      </c>
      <c r="AI94" s="650" t="n">
        <v>0</v>
      </c>
      <c r="AJ94" s="864">
        <f>Z94+AF94+AG94+AH94-AI94</f>
        <v/>
      </c>
      <c r="AK94" s="505" t="n"/>
    </row>
    <row r="95" ht="15" customHeight="1">
      <c r="A95" s="706" t="n">
        <v>30</v>
      </c>
      <c r="B95" s="299" t="n">
        <v>46266</v>
      </c>
      <c r="C95" s="706" t="inlineStr">
        <is>
          <t>SKE</t>
        </is>
      </c>
      <c r="D95" s="706" t="n"/>
      <c r="E95" s="1026" t="inlineStr">
        <is>
          <t>Brown Box Universal &lt; 300 mm- 5 Ply 890 GSM</t>
        </is>
      </c>
      <c r="F95" s="706" t="inlineStr">
        <is>
          <t>B</t>
        </is>
      </c>
      <c r="G95" s="706" t="n">
        <v>0</v>
      </c>
      <c r="H95" s="706" t="inlineStr">
        <is>
          <t>5 Ply</t>
        </is>
      </c>
      <c r="I95" s="706" t="inlineStr">
        <is>
          <t>KRTB</t>
        </is>
      </c>
      <c r="J95" s="706" t="inlineStr">
        <is>
          <t>&lt; 300 mm</t>
        </is>
      </c>
      <c r="K95" s="706" t="inlineStr">
        <is>
          <t>U</t>
        </is>
      </c>
      <c r="L95" s="300" t="n">
        <v>100</v>
      </c>
      <c r="M95" s="300" t="n">
        <v>100</v>
      </c>
      <c r="N95" s="301" t="n">
        <v>100</v>
      </c>
      <c r="O95" s="16" t="inlineStr">
        <is>
          <t>Virgin Kraft</t>
        </is>
      </c>
      <c r="P95" s="17" t="n">
        <v>230</v>
      </c>
      <c r="Q95" s="17" t="n"/>
      <c r="R95" s="17" t="n"/>
      <c r="S95" s="455" t="n">
        <v>43</v>
      </c>
      <c r="T95" s="150">
        <f>(M95+N95+10)/25.4</f>
        <v/>
      </c>
      <c r="U95" s="150">
        <f>((L95+M95)*2+55)/25.4</f>
        <v/>
      </c>
      <c r="V95" s="903">
        <f>((T96*U96*P95)/1550)/1000</f>
        <v/>
      </c>
      <c r="W95" s="903">
        <f>V95*S95</f>
        <v/>
      </c>
      <c r="X95" s="903">
        <f>(V95*3%)</f>
        <v/>
      </c>
      <c r="Y95" s="903">
        <f>X95*S95</f>
        <v/>
      </c>
      <c r="Z95" s="903">
        <f>W95+Y95</f>
        <v/>
      </c>
      <c r="AA95" s="903" t="n">
        <v>6.85</v>
      </c>
      <c r="AB95" s="903">
        <f>(V95+X95)*AA95</f>
        <v/>
      </c>
      <c r="AC95" s="650">
        <f>0.5/3</f>
        <v/>
      </c>
      <c r="AD95" s="650" t="n">
        <v>0</v>
      </c>
      <c r="AE95" s="650" t="n">
        <v>0</v>
      </c>
      <c r="AF95" s="650">
        <f>AB95+AC95+AD95+AE95</f>
        <v/>
      </c>
      <c r="AG95" s="650">
        <f>0.1/3</f>
        <v/>
      </c>
      <c r="AH95" s="650">
        <f>(Z95+AF95+AG95)*10%</f>
        <v/>
      </c>
      <c r="AI95" s="650" t="n">
        <v>0</v>
      </c>
      <c r="AJ95" s="864">
        <f>Z95+AF95+AG95+AH95-AI95</f>
        <v/>
      </c>
      <c r="AK95" s="505">
        <f>AJ95+AJ96+AJ97</f>
        <v/>
      </c>
    </row>
    <row r="96">
      <c r="A96" s="706" t="n">
        <v>30</v>
      </c>
      <c r="B96" s="299" t="n">
        <v>46266</v>
      </c>
      <c r="C96" s="706" t="inlineStr">
        <is>
          <t>SKE</t>
        </is>
      </c>
      <c r="D96" s="706" t="n"/>
      <c r="E96" s="1026" t="inlineStr">
        <is>
          <t>Brown Box Universal &lt; 300 mm- 5 Ply 890 GSM</t>
        </is>
      </c>
      <c r="F96" s="706" t="inlineStr">
        <is>
          <t>B</t>
        </is>
      </c>
      <c r="G96" s="706" t="n">
        <v>0</v>
      </c>
      <c r="H96" s="706" t="inlineStr">
        <is>
          <t>5 Ply</t>
        </is>
      </c>
      <c r="I96" s="706" t="inlineStr">
        <is>
          <t>KRTB</t>
        </is>
      </c>
      <c r="J96" s="706" t="inlineStr">
        <is>
          <t>&lt; 300 mm</t>
        </is>
      </c>
      <c r="K96" s="706" t="inlineStr">
        <is>
          <t>U</t>
        </is>
      </c>
      <c r="L96" s="300" t="n"/>
      <c r="M96" s="300" t="n"/>
      <c r="N96" s="301" t="n"/>
      <c r="O96" s="16" t="inlineStr">
        <is>
          <t>Semi Kraft</t>
        </is>
      </c>
      <c r="P96" s="17" t="n">
        <v>150</v>
      </c>
      <c r="Q96" s="17" t="n"/>
      <c r="R96" s="17" t="n"/>
      <c r="S96" s="455" t="n">
        <v>41</v>
      </c>
      <c r="T96" s="61">
        <f>ROUNDUP($T95,0)+0.2</f>
        <v/>
      </c>
      <c r="U96" s="61">
        <f>ROUNDUP($U95,0)+0.3</f>
        <v/>
      </c>
      <c r="V96" s="903">
        <f>((T96*U96*P96*1.45)*2/1550)/1000</f>
        <v/>
      </c>
      <c r="W96" s="903">
        <f>V96*S96</f>
        <v/>
      </c>
      <c r="X96" s="903">
        <f>(V96*3%)</f>
        <v/>
      </c>
      <c r="Y96" s="903">
        <f>X96*S96</f>
        <v/>
      </c>
      <c r="Z96" s="903">
        <f>W96+Y96</f>
        <v/>
      </c>
      <c r="AA96" s="903" t="n">
        <v>6.85</v>
      </c>
      <c r="AB96" s="903">
        <f>(V96+X96)*AA96</f>
        <v/>
      </c>
      <c r="AC96" s="650">
        <f>0.5/3</f>
        <v/>
      </c>
      <c r="AD96" s="650" t="n">
        <v>0</v>
      </c>
      <c r="AE96" s="650" t="n">
        <v>0</v>
      </c>
      <c r="AF96" s="650">
        <f>AB96+AC96+AD96+AE96</f>
        <v/>
      </c>
      <c r="AG96" s="650">
        <f>0.1/3</f>
        <v/>
      </c>
      <c r="AH96" s="650">
        <f>(Z96+AF96+AG96)*10%</f>
        <v/>
      </c>
      <c r="AI96" s="650" t="n">
        <v>0</v>
      </c>
      <c r="AJ96" s="864">
        <f>Z96+AF96+AG96+AH96-AI96</f>
        <v/>
      </c>
      <c r="AK96" s="505" t="inlineStr">
        <is>
          <t>ok</t>
        </is>
      </c>
    </row>
    <row r="97">
      <c r="A97" s="706" t="n">
        <v>30</v>
      </c>
      <c r="B97" s="299" t="n">
        <v>46266</v>
      </c>
      <c r="C97" s="706" t="inlineStr">
        <is>
          <t>SKE</t>
        </is>
      </c>
      <c r="D97" s="706" t="n"/>
      <c r="E97" s="1026" t="inlineStr">
        <is>
          <t>Brown Box Universal &lt; 300 mm- 5 Ply 890 GSM</t>
        </is>
      </c>
      <c r="F97" s="706" t="inlineStr">
        <is>
          <t>B</t>
        </is>
      </c>
      <c r="G97" s="706" t="n">
        <v>0</v>
      </c>
      <c r="H97" s="706" t="inlineStr">
        <is>
          <t>5 Ply</t>
        </is>
      </c>
      <c r="I97" s="706" t="inlineStr">
        <is>
          <t>KRTB</t>
        </is>
      </c>
      <c r="J97" s="706" t="inlineStr">
        <is>
          <t>&lt; 300 mm</t>
        </is>
      </c>
      <c r="K97" s="706" t="inlineStr">
        <is>
          <t>U</t>
        </is>
      </c>
      <c r="L97" s="300" t="n"/>
      <c r="M97" s="300" t="n"/>
      <c r="N97" s="301" t="n"/>
      <c r="O97" s="16" t="inlineStr">
        <is>
          <t>Virgin Kraft</t>
        </is>
      </c>
      <c r="P97" s="17" t="n">
        <v>180</v>
      </c>
      <c r="Q97" s="17" t="n"/>
      <c r="R97" s="17" t="n"/>
      <c r="S97" s="455" t="n">
        <v>43</v>
      </c>
      <c r="T97" s="61">
        <f>T96</f>
        <v/>
      </c>
      <c r="U97" s="61">
        <f>U96</f>
        <v/>
      </c>
      <c r="V97" s="903">
        <f>((T97*U97*P97)/1550)*2/1000</f>
        <v/>
      </c>
      <c r="W97" s="903">
        <f>V97*S97</f>
        <v/>
      </c>
      <c r="X97" s="903">
        <f>(V97*3%)</f>
        <v/>
      </c>
      <c r="Y97" s="903">
        <f>X97*S97</f>
        <v/>
      </c>
      <c r="Z97" s="903">
        <f>W97+Y97</f>
        <v/>
      </c>
      <c r="AA97" s="903" t="n">
        <v>6.85</v>
      </c>
      <c r="AB97" s="903">
        <f>(V97+X97)*AA97</f>
        <v/>
      </c>
      <c r="AC97" s="650">
        <f>0.5/3</f>
        <v/>
      </c>
      <c r="AD97" s="650" t="n">
        <v>0</v>
      </c>
      <c r="AE97" s="650" t="n">
        <v>0</v>
      </c>
      <c r="AF97" s="650">
        <f>AB97+AC97+AD97+AE97</f>
        <v/>
      </c>
      <c r="AG97" s="650">
        <f>0.1/3</f>
        <v/>
      </c>
      <c r="AH97" s="650">
        <f>(Z97+AF97+AG97)*10%</f>
        <v/>
      </c>
      <c r="AI97" s="650" t="n">
        <v>0</v>
      </c>
      <c r="AJ97" s="864">
        <f>Z97+AF97+AG97+AH97-AI97</f>
        <v/>
      </c>
      <c r="AK97" s="505" t="n"/>
    </row>
    <row r="98" ht="15" customHeight="1">
      <c r="A98" s="706" t="n">
        <v>31</v>
      </c>
      <c r="B98" s="299" t="n">
        <v>46266</v>
      </c>
      <c r="C98" s="706" t="inlineStr">
        <is>
          <t>SKE</t>
        </is>
      </c>
      <c r="D98" s="706" t="n"/>
      <c r="E98" s="1026" t="inlineStr">
        <is>
          <t>Brown Box Universal &gt; 300 mm- 3 Ply 560 GSM</t>
        </is>
      </c>
      <c r="F98" s="706" t="inlineStr">
        <is>
          <t>B</t>
        </is>
      </c>
      <c r="G98" s="706" t="n">
        <v>0</v>
      </c>
      <c r="H98" s="706" t="inlineStr">
        <is>
          <t>3 Ply</t>
        </is>
      </c>
      <c r="I98" s="706" t="inlineStr">
        <is>
          <t>KRTB</t>
        </is>
      </c>
      <c r="J98" s="706" t="inlineStr">
        <is>
          <t>&gt; 300 mm</t>
        </is>
      </c>
      <c r="K98" s="706" t="inlineStr">
        <is>
          <t>U</t>
        </is>
      </c>
      <c r="L98" s="300" t="n">
        <v>100</v>
      </c>
      <c r="M98" s="300" t="n">
        <v>100</v>
      </c>
      <c r="N98" s="301" t="n">
        <v>100</v>
      </c>
      <c r="O98" s="16" t="inlineStr">
        <is>
          <t>Virgin Kraft</t>
        </is>
      </c>
      <c r="P98" s="17" t="n">
        <v>230</v>
      </c>
      <c r="Q98" s="17" t="n"/>
      <c r="R98" s="17" t="n"/>
      <c r="S98" s="455" t="n">
        <v>43</v>
      </c>
      <c r="T98" s="150">
        <f>(M98+N98+10)/25.4</f>
        <v/>
      </c>
      <c r="U98" s="150">
        <f>((L98+M98+55)*2)/25.4</f>
        <v/>
      </c>
      <c r="V98" s="903">
        <f>((T99*U99*P98)/1550)/1000</f>
        <v/>
      </c>
      <c r="W98" s="903">
        <f>V98*S98</f>
        <v/>
      </c>
      <c r="X98" s="903">
        <f>(V98*3%)</f>
        <v/>
      </c>
      <c r="Y98" s="903">
        <f>X98*S98</f>
        <v/>
      </c>
      <c r="Z98" s="903">
        <f>W98+Y98</f>
        <v/>
      </c>
      <c r="AA98" s="903" t="n">
        <v>6.85</v>
      </c>
      <c r="AB98" s="903">
        <f>(V98+X98)*AA98</f>
        <v/>
      </c>
      <c r="AC98" s="650">
        <f>0.5/3</f>
        <v/>
      </c>
      <c r="AD98" s="650" t="n">
        <v>0</v>
      </c>
      <c r="AE98" s="650" t="n">
        <v>0</v>
      </c>
      <c r="AF98" s="650">
        <f>AB98+AC98+AD98+AE98</f>
        <v/>
      </c>
      <c r="AG98" s="650">
        <f>0.1/3</f>
        <v/>
      </c>
      <c r="AH98" s="650">
        <f>(Z98+AF98+AG98)*10%</f>
        <v/>
      </c>
      <c r="AI98" s="650" t="n">
        <v>0</v>
      </c>
      <c r="AJ98" s="864">
        <f>Z98+AF98+AG98+AH98-AI98</f>
        <v/>
      </c>
      <c r="AK98" s="505">
        <f>AJ98+AJ99+AJ100</f>
        <v/>
      </c>
    </row>
    <row r="99">
      <c r="A99" s="706" t="n">
        <v>31</v>
      </c>
      <c r="B99" s="299" t="n">
        <v>46266</v>
      </c>
      <c r="C99" s="706" t="inlineStr">
        <is>
          <t>SKE</t>
        </is>
      </c>
      <c r="D99" s="706" t="n"/>
      <c r="E99" s="1026" t="inlineStr">
        <is>
          <t>Brown Box Universal &gt; 300 mm- 3 Ply 560 GSM</t>
        </is>
      </c>
      <c r="F99" s="706" t="inlineStr">
        <is>
          <t>B</t>
        </is>
      </c>
      <c r="G99" s="706" t="n">
        <v>0</v>
      </c>
      <c r="H99" s="706" t="inlineStr">
        <is>
          <t>3 Ply</t>
        </is>
      </c>
      <c r="I99" s="706" t="inlineStr">
        <is>
          <t>KRTB</t>
        </is>
      </c>
      <c r="J99" s="706" t="inlineStr">
        <is>
          <t>&gt; 300 mm</t>
        </is>
      </c>
      <c r="K99" s="706" t="inlineStr">
        <is>
          <t>U</t>
        </is>
      </c>
      <c r="L99" s="300" t="n"/>
      <c r="M99" s="300" t="n"/>
      <c r="N99" s="301" t="n"/>
      <c r="O99" s="16" t="inlineStr">
        <is>
          <t>Semi Kraft</t>
        </is>
      </c>
      <c r="P99" s="17" t="n">
        <v>150</v>
      </c>
      <c r="Q99" s="17" t="n"/>
      <c r="R99" s="17" t="n"/>
      <c r="S99" s="455" t="n">
        <v>41</v>
      </c>
      <c r="T99" s="61">
        <f>ROUNDUP($T98,0)+0.2</f>
        <v/>
      </c>
      <c r="U99" s="61">
        <f>ROUNDUP($U98,0)+0.3</f>
        <v/>
      </c>
      <c r="V99" s="903">
        <f>((T99*U99*P99*1.45)/1550)/1000</f>
        <v/>
      </c>
      <c r="W99" s="903">
        <f>V99*S99</f>
        <v/>
      </c>
      <c r="X99" s="903">
        <f>(V99*3%)</f>
        <v/>
      </c>
      <c r="Y99" s="903">
        <f>X99*S99</f>
        <v/>
      </c>
      <c r="Z99" s="903">
        <f>W99+Y99</f>
        <v/>
      </c>
      <c r="AA99" s="903" t="n">
        <v>6.85</v>
      </c>
      <c r="AB99" s="903">
        <f>(V99+X99)*AA99</f>
        <v/>
      </c>
      <c r="AC99" s="650">
        <f>0.5/3</f>
        <v/>
      </c>
      <c r="AD99" s="650" t="n">
        <v>0</v>
      </c>
      <c r="AE99" s="650" t="n">
        <v>0</v>
      </c>
      <c r="AF99" s="650">
        <f>AB99+AC99+AD99+AE99</f>
        <v/>
      </c>
      <c r="AG99" s="650">
        <f>0.1/3</f>
        <v/>
      </c>
      <c r="AH99" s="650">
        <f>(Z99+AF99+AG99)*10%</f>
        <v/>
      </c>
      <c r="AI99" s="650" t="n">
        <v>0</v>
      </c>
      <c r="AJ99" s="864">
        <f>Z99+AF99+AG99+AH99-AI99</f>
        <v/>
      </c>
      <c r="AK99" s="505" t="inlineStr">
        <is>
          <t>ok</t>
        </is>
      </c>
    </row>
    <row r="100">
      <c r="A100" s="706" t="n">
        <v>31</v>
      </c>
      <c r="B100" s="299" t="n">
        <v>46266</v>
      </c>
      <c r="C100" s="706" t="inlineStr">
        <is>
          <t>SKE</t>
        </is>
      </c>
      <c r="D100" s="706" t="n"/>
      <c r="E100" s="1026" t="inlineStr">
        <is>
          <t>Brown Box Universal &gt; 300 mm- 3 Ply 560 GSM</t>
        </is>
      </c>
      <c r="F100" s="706" t="inlineStr">
        <is>
          <t>B</t>
        </is>
      </c>
      <c r="G100" s="706" t="n">
        <v>0</v>
      </c>
      <c r="H100" s="706" t="inlineStr">
        <is>
          <t>3 Ply</t>
        </is>
      </c>
      <c r="I100" s="706" t="inlineStr">
        <is>
          <t>KRTB</t>
        </is>
      </c>
      <c r="J100" s="706" t="inlineStr">
        <is>
          <t>&gt; 300 mm</t>
        </is>
      </c>
      <c r="K100" s="706" t="inlineStr">
        <is>
          <t>U</t>
        </is>
      </c>
      <c r="L100" s="300" t="n"/>
      <c r="M100" s="300" t="n"/>
      <c r="N100" s="301" t="n"/>
      <c r="O100" s="16" t="inlineStr">
        <is>
          <t>Virgin Kraft</t>
        </is>
      </c>
      <c r="P100" s="17" t="n">
        <v>180</v>
      </c>
      <c r="Q100" s="17" t="n"/>
      <c r="R100" s="17" t="n"/>
      <c r="S100" s="455" t="n">
        <v>43</v>
      </c>
      <c r="T100" s="61">
        <f>T99</f>
        <v/>
      </c>
      <c r="U100" s="61">
        <f>U99</f>
        <v/>
      </c>
      <c r="V100" s="903">
        <f>((T100*U100*P100)/1550)/1000</f>
        <v/>
      </c>
      <c r="W100" s="903">
        <f>V100*S100</f>
        <v/>
      </c>
      <c r="X100" s="903">
        <f>(V100*3%)</f>
        <v/>
      </c>
      <c r="Y100" s="903">
        <f>X100*S100</f>
        <v/>
      </c>
      <c r="Z100" s="903">
        <f>W100+Y100</f>
        <v/>
      </c>
      <c r="AA100" s="903" t="n">
        <v>6.85</v>
      </c>
      <c r="AB100" s="903">
        <f>(V100+X100)*AA100</f>
        <v/>
      </c>
      <c r="AC100" s="650">
        <f>0.5/3</f>
        <v/>
      </c>
      <c r="AD100" s="650" t="n">
        <v>0</v>
      </c>
      <c r="AE100" s="650" t="n">
        <v>0</v>
      </c>
      <c r="AF100" s="650">
        <f>AB100+AC100+AD100+AE100</f>
        <v/>
      </c>
      <c r="AG100" s="650">
        <f>0.1/3</f>
        <v/>
      </c>
      <c r="AH100" s="650">
        <f>(Z100+AF100+AG100)*10%</f>
        <v/>
      </c>
      <c r="AI100" s="650" t="n">
        <v>0</v>
      </c>
      <c r="AJ100" s="864">
        <f>Z100+AF100+AG100+AH100-AI100</f>
        <v/>
      </c>
      <c r="AK100" s="505" t="n"/>
    </row>
    <row r="101" ht="15" customHeight="1">
      <c r="A101" s="706" t="n">
        <v>32</v>
      </c>
      <c r="B101" s="299" t="n">
        <v>46266</v>
      </c>
      <c r="C101" s="706" t="inlineStr">
        <is>
          <t>SKE</t>
        </is>
      </c>
      <c r="D101" s="706" t="n"/>
      <c r="E101" s="1026" t="inlineStr">
        <is>
          <t>Brown Box Universal &gt; 300 mm- 5 Ply 890 GSM</t>
        </is>
      </c>
      <c r="F101" s="706" t="inlineStr">
        <is>
          <t>B</t>
        </is>
      </c>
      <c r="G101" s="706" t="n">
        <v>0</v>
      </c>
      <c r="H101" s="706" t="inlineStr">
        <is>
          <t>5 Ply</t>
        </is>
      </c>
      <c r="I101" s="706" t="inlineStr">
        <is>
          <t>KRTB</t>
        </is>
      </c>
      <c r="J101" s="706" t="inlineStr">
        <is>
          <t>&gt; 300 mm</t>
        </is>
      </c>
      <c r="K101" s="706" t="inlineStr">
        <is>
          <t>U</t>
        </is>
      </c>
      <c r="L101" s="300" t="n">
        <v>100</v>
      </c>
      <c r="M101" s="300" t="n">
        <v>100</v>
      </c>
      <c r="N101" s="301" t="n">
        <v>100</v>
      </c>
      <c r="O101" s="16" t="inlineStr">
        <is>
          <t>Virgin Kraft</t>
        </is>
      </c>
      <c r="P101" s="17" t="n">
        <v>230</v>
      </c>
      <c r="Q101" s="17" t="n"/>
      <c r="R101" s="17" t="n"/>
      <c r="S101" s="455" t="n">
        <v>43</v>
      </c>
      <c r="T101" s="150">
        <f>(M101+N101+10)/25.4</f>
        <v/>
      </c>
      <c r="U101" s="150">
        <f>((L101+M101+55)*2)/25.4</f>
        <v/>
      </c>
      <c r="V101" s="903">
        <f>((T102*U102*P101)/1550)/1000</f>
        <v/>
      </c>
      <c r="W101" s="903">
        <f>V101*S101</f>
        <v/>
      </c>
      <c r="X101" s="903">
        <f>(V101*3%)</f>
        <v/>
      </c>
      <c r="Y101" s="903">
        <f>X101*S101</f>
        <v/>
      </c>
      <c r="Z101" s="903">
        <f>W101+Y101</f>
        <v/>
      </c>
      <c r="AA101" s="903" t="n">
        <v>6.85</v>
      </c>
      <c r="AB101" s="903">
        <f>(V101+X101)*AA101</f>
        <v/>
      </c>
      <c r="AC101" s="650">
        <f>0.5/3</f>
        <v/>
      </c>
      <c r="AD101" s="650" t="n">
        <v>0</v>
      </c>
      <c r="AE101" s="650" t="n">
        <v>0</v>
      </c>
      <c r="AF101" s="650">
        <f>AB101+AC101+AD101+AE101</f>
        <v/>
      </c>
      <c r="AG101" s="650">
        <f>0.1/3</f>
        <v/>
      </c>
      <c r="AH101" s="650">
        <f>(Z101+AF101+AG101)*10%</f>
        <v/>
      </c>
      <c r="AI101" s="650" t="n">
        <v>0</v>
      </c>
      <c r="AJ101" s="864">
        <f>Z101+AF101+AG101+AH101-AI101</f>
        <v/>
      </c>
      <c r="AK101" s="505">
        <f>AJ101+AJ102+AJ103</f>
        <v/>
      </c>
    </row>
    <row r="102">
      <c r="A102" s="706" t="n">
        <v>32</v>
      </c>
      <c r="B102" s="299" t="n">
        <v>46266</v>
      </c>
      <c r="C102" s="706" t="inlineStr">
        <is>
          <t>SKE</t>
        </is>
      </c>
      <c r="D102" s="706" t="n"/>
      <c r="E102" s="1026" t="inlineStr">
        <is>
          <t>Brown Box Universal &gt; 300 mm- 5 Ply 890 GSM</t>
        </is>
      </c>
      <c r="F102" s="706" t="inlineStr">
        <is>
          <t>B</t>
        </is>
      </c>
      <c r="G102" s="706" t="n">
        <v>0</v>
      </c>
      <c r="H102" s="706" t="inlineStr">
        <is>
          <t>5 Ply</t>
        </is>
      </c>
      <c r="I102" s="706" t="inlineStr">
        <is>
          <t>KRTB</t>
        </is>
      </c>
      <c r="J102" s="706" t="inlineStr">
        <is>
          <t>&gt; 300 mm</t>
        </is>
      </c>
      <c r="K102" s="706" t="inlineStr">
        <is>
          <t>U</t>
        </is>
      </c>
      <c r="L102" s="300" t="n"/>
      <c r="M102" s="300" t="n"/>
      <c r="N102" s="301" t="n"/>
      <c r="O102" s="16" t="inlineStr">
        <is>
          <t>Semi Kraft</t>
        </is>
      </c>
      <c r="P102" s="17" t="n">
        <v>150</v>
      </c>
      <c r="Q102" s="17" t="n"/>
      <c r="R102" s="17" t="n"/>
      <c r="S102" s="455" t="n">
        <v>41</v>
      </c>
      <c r="T102" s="61">
        <f>ROUNDUP($T101,0)+0.2</f>
        <v/>
      </c>
      <c r="U102" s="61">
        <f>ROUNDUP($U101,0)+0.3</f>
        <v/>
      </c>
      <c r="V102" s="903">
        <f>((T102*U102*P102*1.45)*2/1550)/1000</f>
        <v/>
      </c>
      <c r="W102" s="903">
        <f>V102*S102</f>
        <v/>
      </c>
      <c r="X102" s="903">
        <f>(V102*3%)</f>
        <v/>
      </c>
      <c r="Y102" s="903">
        <f>X102*S102</f>
        <v/>
      </c>
      <c r="Z102" s="903">
        <f>W102+Y102</f>
        <v/>
      </c>
      <c r="AA102" s="903" t="n">
        <v>6.85</v>
      </c>
      <c r="AB102" s="903">
        <f>(V102+X102)*AA102</f>
        <v/>
      </c>
      <c r="AC102" s="650">
        <f>0.5/3</f>
        <v/>
      </c>
      <c r="AD102" s="650" t="n">
        <v>0</v>
      </c>
      <c r="AE102" s="650" t="n">
        <v>0</v>
      </c>
      <c r="AF102" s="650">
        <f>AB102+AC102+AD102+AE102</f>
        <v/>
      </c>
      <c r="AG102" s="650">
        <f>0.1/3</f>
        <v/>
      </c>
      <c r="AH102" s="650">
        <f>(Z102+AF102+AG102)*10%</f>
        <v/>
      </c>
      <c r="AI102" s="650" t="n">
        <v>0</v>
      </c>
      <c r="AJ102" s="864">
        <f>Z102+AF102+AG102+AH102-AI102</f>
        <v/>
      </c>
      <c r="AK102" s="505" t="inlineStr">
        <is>
          <t>ok</t>
        </is>
      </c>
    </row>
    <row r="103">
      <c r="A103" s="706" t="n">
        <v>32</v>
      </c>
      <c r="B103" s="299" t="n">
        <v>46266</v>
      </c>
      <c r="C103" s="706" t="inlineStr">
        <is>
          <t>SKE</t>
        </is>
      </c>
      <c r="D103" s="706" t="n"/>
      <c r="E103" s="1026" t="inlineStr">
        <is>
          <t>Brown Box Universal &gt; 300 mm- 5 Ply 890 GSM</t>
        </is>
      </c>
      <c r="F103" s="706" t="inlineStr">
        <is>
          <t>B</t>
        </is>
      </c>
      <c r="G103" s="706" t="n">
        <v>0</v>
      </c>
      <c r="H103" s="706" t="inlineStr">
        <is>
          <t>5 Ply</t>
        </is>
      </c>
      <c r="I103" s="706" t="inlineStr">
        <is>
          <t>KRTB</t>
        </is>
      </c>
      <c r="J103" s="706" t="inlineStr">
        <is>
          <t>&gt; 300 mm</t>
        </is>
      </c>
      <c r="K103" s="706" t="inlineStr">
        <is>
          <t>U</t>
        </is>
      </c>
      <c r="L103" s="300" t="n"/>
      <c r="M103" s="300" t="n"/>
      <c r="N103" s="301" t="n"/>
      <c r="O103" s="16" t="inlineStr">
        <is>
          <t>Virgin Kraft</t>
        </is>
      </c>
      <c r="P103" s="17" t="n">
        <v>180</v>
      </c>
      <c r="Q103" s="17" t="n"/>
      <c r="R103" s="17" t="n"/>
      <c r="S103" s="455" t="n">
        <v>43</v>
      </c>
      <c r="T103" s="61">
        <f>T102</f>
        <v/>
      </c>
      <c r="U103" s="61">
        <f>U102</f>
        <v/>
      </c>
      <c r="V103" s="903">
        <f>((T103*U103*P103)/1550)*2/1000</f>
        <v/>
      </c>
      <c r="W103" s="903">
        <f>V103*S103</f>
        <v/>
      </c>
      <c r="X103" s="903">
        <f>(V103*3%)</f>
        <v/>
      </c>
      <c r="Y103" s="903">
        <f>X103*S103</f>
        <v/>
      </c>
      <c r="Z103" s="903">
        <f>W103+Y103</f>
        <v/>
      </c>
      <c r="AA103" s="903" t="n">
        <v>6.85</v>
      </c>
      <c r="AB103" s="903">
        <f>(V103+X103)*AA103</f>
        <v/>
      </c>
      <c r="AC103" s="650">
        <f>0.5/3</f>
        <v/>
      </c>
      <c r="AD103" s="650" t="n">
        <v>0</v>
      </c>
      <c r="AE103" s="650" t="n">
        <v>0</v>
      </c>
      <c r="AF103" s="650">
        <f>AB103+AC103+AD103+AE103</f>
        <v/>
      </c>
      <c r="AG103" s="650">
        <f>0.1/3</f>
        <v/>
      </c>
      <c r="AH103" s="650">
        <f>(Z103+AF103+AG103)*10%</f>
        <v/>
      </c>
      <c r="AI103" s="650" t="n">
        <v>0</v>
      </c>
      <c r="AJ103" s="864">
        <f>Z103+AF103+AG103+AH103-AI103</f>
        <v/>
      </c>
      <c r="AK103" s="505" t="n"/>
    </row>
    <row r="104" ht="15" customHeight="1">
      <c r="A104" s="706" t="n">
        <v>33</v>
      </c>
      <c r="B104" s="299" t="n">
        <v>46266</v>
      </c>
      <c r="C104" s="706" t="inlineStr">
        <is>
          <t>SKE</t>
        </is>
      </c>
      <c r="D104" s="706" t="n"/>
      <c r="E104" s="1027" t="inlineStr">
        <is>
          <t>HSC Interlock Box 3 PLY- B FLUTE 640 GSM</t>
        </is>
      </c>
      <c r="F104" s="706" t="inlineStr">
        <is>
          <t>B</t>
        </is>
      </c>
      <c r="G104" s="706" t="n">
        <v>0</v>
      </c>
      <c r="H104" s="706" t="inlineStr">
        <is>
          <t>3 Ply</t>
        </is>
      </c>
      <c r="I104" s="1030" t="inlineStr">
        <is>
          <t>KM</t>
        </is>
      </c>
      <c r="J104" s="706" t="n"/>
      <c r="K104" s="706" t="inlineStr">
        <is>
          <t>I</t>
        </is>
      </c>
      <c r="L104" s="300" t="n">
        <v>100</v>
      </c>
      <c r="M104" s="300" t="n">
        <v>100</v>
      </c>
      <c r="N104" s="301" t="n">
        <v>100</v>
      </c>
      <c r="O104" s="16" t="inlineStr">
        <is>
          <t>Virgin Kraft</t>
        </is>
      </c>
      <c r="P104" s="17" t="n">
        <v>230</v>
      </c>
      <c r="Q104" s="17" t="n"/>
      <c r="R104" s="17" t="n"/>
      <c r="S104" s="455" t="n">
        <v>43</v>
      </c>
      <c r="T104" s="150">
        <f>((N104)+(M104*70%+20))/25.4</f>
        <v/>
      </c>
      <c r="U104" s="150">
        <f>((L104+M104+30)*2)/25.4</f>
        <v/>
      </c>
      <c r="V104" s="903">
        <f>((T105*U105*P104)/1550)/1000</f>
        <v/>
      </c>
      <c r="W104" s="903">
        <f>V104*S104</f>
        <v/>
      </c>
      <c r="X104" s="903">
        <f>(V104*3%)</f>
        <v/>
      </c>
      <c r="Y104" s="903">
        <f>X104*S104</f>
        <v/>
      </c>
      <c r="Z104" s="903">
        <f>W104+Y104</f>
        <v/>
      </c>
      <c r="AA104" s="903" t="n">
        <v>6.85</v>
      </c>
      <c r="AB104" s="903">
        <f>(V104+X104)*AA104</f>
        <v/>
      </c>
      <c r="AC104" s="650">
        <f>0.5/3</f>
        <v/>
      </c>
      <c r="AD104" s="650" t="n">
        <v>0</v>
      </c>
      <c r="AE104" s="650" t="n">
        <v>0</v>
      </c>
      <c r="AF104" s="650">
        <f>AB104+AC104+AD104+AE104</f>
        <v/>
      </c>
      <c r="AG104" s="650">
        <f>0.1/3</f>
        <v/>
      </c>
      <c r="AH104" s="650">
        <f>(Z104+AF104+AG104)*10%</f>
        <v/>
      </c>
      <c r="AI104" s="650" t="n">
        <v>0</v>
      </c>
      <c r="AJ104" s="864">
        <f>Z104+AF104+AG104+AH104-AI104</f>
        <v/>
      </c>
      <c r="AK104" s="505">
        <f>AJ104+AJ105+AJ106</f>
        <v/>
      </c>
    </row>
    <row r="105">
      <c r="A105" s="706" t="n">
        <v>33</v>
      </c>
      <c r="B105" s="299" t="n">
        <v>46266</v>
      </c>
      <c r="C105" s="706" t="inlineStr">
        <is>
          <t>SKE</t>
        </is>
      </c>
      <c r="D105" s="706" t="n"/>
      <c r="E105" s="1027" t="inlineStr">
        <is>
          <t>HSC Interlock Box 3 PLY- B FLUTE 640 GSM</t>
        </is>
      </c>
      <c r="F105" s="706" t="inlineStr">
        <is>
          <t>B</t>
        </is>
      </c>
      <c r="G105" s="706" t="n">
        <v>0</v>
      </c>
      <c r="H105" s="706" t="inlineStr">
        <is>
          <t>3 Ply</t>
        </is>
      </c>
      <c r="I105" s="1030" t="inlineStr">
        <is>
          <t>KM</t>
        </is>
      </c>
      <c r="J105" s="706" t="n"/>
      <c r="K105" s="706" t="inlineStr">
        <is>
          <t>I</t>
        </is>
      </c>
      <c r="L105" s="300" t="n"/>
      <c r="M105" s="300" t="n"/>
      <c r="N105" s="301" t="n"/>
      <c r="O105" s="16" t="inlineStr">
        <is>
          <t>Semi Kraft</t>
        </is>
      </c>
      <c r="P105" s="17" t="n">
        <v>180</v>
      </c>
      <c r="Q105" s="17" t="n"/>
      <c r="R105" s="17" t="n"/>
      <c r="S105" s="455" t="n">
        <v>41</v>
      </c>
      <c r="T105" s="293">
        <f>IF(MOD(ROUNDUP(T104,0),2)=1,ROUNDUP(T104,0)+1,ROUNDUP(T104,0))</f>
        <v/>
      </c>
      <c r="U105" s="293">
        <f>CEILING($U104,0.5)</f>
        <v/>
      </c>
      <c r="V105" s="903">
        <f>((T105*U105*P105*1.45)/1550)/1000</f>
        <v/>
      </c>
      <c r="W105" s="903">
        <f>V105*S105</f>
        <v/>
      </c>
      <c r="X105" s="903">
        <f>(V105*3%)</f>
        <v/>
      </c>
      <c r="Y105" s="903">
        <f>X105*S105</f>
        <v/>
      </c>
      <c r="Z105" s="903">
        <f>W105+Y105</f>
        <v/>
      </c>
      <c r="AA105" s="903" t="n">
        <v>6.85</v>
      </c>
      <c r="AB105" s="903">
        <f>(V105+X105)*AA105</f>
        <v/>
      </c>
      <c r="AC105" s="650">
        <f>0.5/3</f>
        <v/>
      </c>
      <c r="AD105" s="650" t="n">
        <v>0</v>
      </c>
      <c r="AE105" s="650" t="n">
        <v>0</v>
      </c>
      <c r="AF105" s="650">
        <f>AB105+AC105+AD105+AE105</f>
        <v/>
      </c>
      <c r="AG105" s="650">
        <f>0.1/3</f>
        <v/>
      </c>
      <c r="AH105" s="650">
        <f>(Z105+AF105+AG105)*10%</f>
        <v/>
      </c>
      <c r="AI105" s="650" t="n">
        <v>0</v>
      </c>
      <c r="AJ105" s="864">
        <f>Z105+AF105+AG105+AH105-AI105</f>
        <v/>
      </c>
      <c r="AK105" s="505" t="inlineStr">
        <is>
          <t>ok</t>
        </is>
      </c>
    </row>
    <row r="106">
      <c r="A106" s="706" t="n">
        <v>33</v>
      </c>
      <c r="B106" s="299" t="n">
        <v>46266</v>
      </c>
      <c r="C106" s="706" t="inlineStr">
        <is>
          <t>SKE</t>
        </is>
      </c>
      <c r="D106" s="706" t="n"/>
      <c r="E106" s="1027" t="inlineStr">
        <is>
          <t>HSC Interlock Box 3 PLY- B FLUTE 640 GSM</t>
        </is>
      </c>
      <c r="F106" s="706" t="inlineStr">
        <is>
          <t>B</t>
        </is>
      </c>
      <c r="G106" s="706" t="n">
        <v>0</v>
      </c>
      <c r="H106" s="706" t="inlineStr">
        <is>
          <t>3 Ply</t>
        </is>
      </c>
      <c r="I106" s="1030" t="inlineStr">
        <is>
          <t>KM</t>
        </is>
      </c>
      <c r="J106" s="706" t="n"/>
      <c r="K106" s="706" t="inlineStr">
        <is>
          <t>I</t>
        </is>
      </c>
      <c r="L106" s="300" t="n"/>
      <c r="M106" s="300" t="n"/>
      <c r="N106" s="301" t="n"/>
      <c r="O106" s="16" t="inlineStr">
        <is>
          <t>Virgin Kraft</t>
        </is>
      </c>
      <c r="P106" s="17" t="n">
        <v>230</v>
      </c>
      <c r="Q106" s="17" t="n"/>
      <c r="R106" s="17" t="n"/>
      <c r="S106" s="455" t="n">
        <v>43</v>
      </c>
      <c r="T106" s="61">
        <f>T105</f>
        <v/>
      </c>
      <c r="U106" s="61">
        <f>U105</f>
        <v/>
      </c>
      <c r="V106" s="903">
        <f>((T106*U106*P106)/1550)/1000</f>
        <v/>
      </c>
      <c r="W106" s="903">
        <f>V106*S106</f>
        <v/>
      </c>
      <c r="X106" s="903">
        <f>(V106*3%)</f>
        <v/>
      </c>
      <c r="Y106" s="903">
        <f>X106*S106</f>
        <v/>
      </c>
      <c r="Z106" s="903">
        <f>W106+Y106</f>
        <v/>
      </c>
      <c r="AA106" s="903" t="n">
        <v>6.85</v>
      </c>
      <c r="AB106" s="903">
        <f>(V106+X106)*AA106</f>
        <v/>
      </c>
      <c r="AC106" s="650">
        <f>0.5/3</f>
        <v/>
      </c>
      <c r="AD106" s="650" t="n">
        <v>0</v>
      </c>
      <c r="AE106" s="650" t="n">
        <v>0</v>
      </c>
      <c r="AF106" s="650">
        <f>AB106+AC106+AD106+AE106</f>
        <v/>
      </c>
      <c r="AG106" s="650">
        <f>0.1/3</f>
        <v/>
      </c>
      <c r="AH106" s="650">
        <f>(Z106+AF106+AG106)*10%</f>
        <v/>
      </c>
      <c r="AI106" s="650" t="n">
        <v>0</v>
      </c>
      <c r="AJ106" s="864">
        <f>Z106+AF106+AG106+AH106-AI106</f>
        <v/>
      </c>
      <c r="AK106" s="505" t="n"/>
    </row>
    <row r="107" ht="15" customHeight="1">
      <c r="A107" s="706" t="n">
        <v>34</v>
      </c>
      <c r="B107" s="299" t="n">
        <v>46266</v>
      </c>
      <c r="C107" s="706" t="inlineStr">
        <is>
          <t>SKE</t>
        </is>
      </c>
      <c r="D107" s="706" t="n"/>
      <c r="E107" s="1027" t="inlineStr">
        <is>
          <t>HSC Interlock Box 5 PLY- B FLUTE 1050 GSM</t>
        </is>
      </c>
      <c r="F107" s="706" t="inlineStr">
        <is>
          <t>B</t>
        </is>
      </c>
      <c r="G107" s="706" t="n">
        <v>0</v>
      </c>
      <c r="H107" s="706" t="inlineStr">
        <is>
          <t>5 Ply</t>
        </is>
      </c>
      <c r="I107" s="1030" t="inlineStr">
        <is>
          <t>KM</t>
        </is>
      </c>
      <c r="J107" s="706" t="n"/>
      <c r="K107" s="706" t="inlineStr">
        <is>
          <t>I</t>
        </is>
      </c>
      <c r="L107" s="300" t="n">
        <v>100</v>
      </c>
      <c r="M107" s="300" t="n">
        <v>100</v>
      </c>
      <c r="N107" s="301" t="n">
        <v>100</v>
      </c>
      <c r="O107" s="16" t="inlineStr">
        <is>
          <t>Virgin Kraft</t>
        </is>
      </c>
      <c r="P107" s="17" t="n">
        <v>230</v>
      </c>
      <c r="Q107" s="17" t="n"/>
      <c r="R107" s="17" t="n"/>
      <c r="S107" s="455" t="n">
        <v>43</v>
      </c>
      <c r="T107" s="150">
        <f>((N107)+(M107*70%+20))/25.4</f>
        <v/>
      </c>
      <c r="U107" s="150">
        <f>((L107+M107+30)*2)/25.4</f>
        <v/>
      </c>
      <c r="V107" s="903">
        <f>((T108*U108*P107)/1550)/1000</f>
        <v/>
      </c>
      <c r="W107" s="903">
        <f>V107*S107</f>
        <v/>
      </c>
      <c r="X107" s="903">
        <f>(V107*3%)</f>
        <v/>
      </c>
      <c r="Y107" s="903">
        <f>X107*S107</f>
        <v/>
      </c>
      <c r="Z107" s="903">
        <f>W107+Y107</f>
        <v/>
      </c>
      <c r="AA107" s="903" t="n">
        <v>6.85</v>
      </c>
      <c r="AB107" s="903">
        <f>(V107+X107)*AA107</f>
        <v/>
      </c>
      <c r="AC107" s="650">
        <f>0.5/3</f>
        <v/>
      </c>
      <c r="AD107" s="650" t="n">
        <v>0</v>
      </c>
      <c r="AE107" s="650" t="n">
        <v>0</v>
      </c>
      <c r="AF107" s="650">
        <f>AB107+AC107+AD107+AE107</f>
        <v/>
      </c>
      <c r="AG107" s="650">
        <f>0.1/3</f>
        <v/>
      </c>
      <c r="AH107" s="650">
        <f>(Z107+AF107+AG107)*10%</f>
        <v/>
      </c>
      <c r="AI107" s="650" t="n">
        <v>0</v>
      </c>
      <c r="AJ107" s="864">
        <f>Z107+AF107+AG107+AH107-AI107</f>
        <v/>
      </c>
      <c r="AK107" s="505">
        <f>AJ107+AJ108+AJ109</f>
        <v/>
      </c>
    </row>
    <row r="108">
      <c r="A108" s="706" t="n">
        <v>34</v>
      </c>
      <c r="B108" s="299" t="n">
        <v>46266</v>
      </c>
      <c r="C108" s="706" t="inlineStr">
        <is>
          <t>SKE</t>
        </is>
      </c>
      <c r="D108" s="706" t="n"/>
      <c r="E108" s="1027" t="inlineStr">
        <is>
          <t>HSC Interlock Box 5 PLY- B FLUTE 1050 GSM</t>
        </is>
      </c>
      <c r="F108" s="706" t="inlineStr">
        <is>
          <t>B</t>
        </is>
      </c>
      <c r="G108" s="706" t="n">
        <v>0</v>
      </c>
      <c r="H108" s="706" t="inlineStr">
        <is>
          <t>5 Ply</t>
        </is>
      </c>
      <c r="I108" s="1030" t="inlineStr">
        <is>
          <t>KM</t>
        </is>
      </c>
      <c r="J108" s="706" t="n"/>
      <c r="K108" s="706" t="inlineStr">
        <is>
          <t>I</t>
        </is>
      </c>
      <c r="L108" s="300" t="n"/>
      <c r="M108" s="300" t="n"/>
      <c r="N108" s="301" t="n"/>
      <c r="O108" s="16" t="inlineStr">
        <is>
          <t>Semi Kraft</t>
        </is>
      </c>
      <c r="P108" s="17" t="n">
        <v>180</v>
      </c>
      <c r="Q108" s="17" t="n"/>
      <c r="R108" s="17" t="n"/>
      <c r="S108" s="455" t="n">
        <v>41</v>
      </c>
      <c r="T108" s="293">
        <f>IF(MOD(ROUNDUP(T107,0),2)=1,ROUNDUP(T107,0)+1,ROUNDUP(T107,0))</f>
        <v/>
      </c>
      <c r="U108" s="293">
        <f>CEILING($U107,0.5)</f>
        <v/>
      </c>
      <c r="V108" s="903">
        <f>((T108*U108*P108*1.45)*2/1550)/1000</f>
        <v/>
      </c>
      <c r="W108" s="903">
        <f>V108*S108</f>
        <v/>
      </c>
      <c r="X108" s="903">
        <f>(V108*3%)</f>
        <v/>
      </c>
      <c r="Y108" s="903">
        <f>X108*S108</f>
        <v/>
      </c>
      <c r="Z108" s="903">
        <f>W108+Y108</f>
        <v/>
      </c>
      <c r="AA108" s="903" t="n">
        <v>6.85</v>
      </c>
      <c r="AB108" s="903">
        <f>(V108+X108)*AA108</f>
        <v/>
      </c>
      <c r="AC108" s="650">
        <f>0.5/3</f>
        <v/>
      </c>
      <c r="AD108" s="650" t="n">
        <v>0</v>
      </c>
      <c r="AE108" s="650" t="n">
        <v>0</v>
      </c>
      <c r="AF108" s="650">
        <f>AB108+AC108+AD108+AE108</f>
        <v/>
      </c>
      <c r="AG108" s="650">
        <f>0.1/3</f>
        <v/>
      </c>
      <c r="AH108" s="650">
        <f>(Z108+AF108+AG108)*10%</f>
        <v/>
      </c>
      <c r="AI108" s="650" t="n">
        <v>0</v>
      </c>
      <c r="AJ108" s="864">
        <f>Z108+AF108+AG108+AH108-AI108</f>
        <v/>
      </c>
      <c r="AK108" s="505" t="inlineStr">
        <is>
          <t>ok</t>
        </is>
      </c>
    </row>
    <row r="109">
      <c r="A109" s="706" t="n">
        <v>34</v>
      </c>
      <c r="B109" s="299" t="n">
        <v>46266</v>
      </c>
      <c r="C109" s="706" t="inlineStr">
        <is>
          <t>SKE</t>
        </is>
      </c>
      <c r="D109" s="706" t="n"/>
      <c r="E109" s="1027" t="inlineStr">
        <is>
          <t>HSC Interlock Box 5 PLY- B FLUTE 1050 GSM</t>
        </is>
      </c>
      <c r="F109" s="706" t="inlineStr">
        <is>
          <t>B</t>
        </is>
      </c>
      <c r="G109" s="706" t="n">
        <v>0</v>
      </c>
      <c r="H109" s="706" t="inlineStr">
        <is>
          <t>5 Ply</t>
        </is>
      </c>
      <c r="I109" s="1030" t="inlineStr">
        <is>
          <t>KM</t>
        </is>
      </c>
      <c r="J109" s="706" t="n"/>
      <c r="K109" s="706" t="inlineStr">
        <is>
          <t>I</t>
        </is>
      </c>
      <c r="L109" s="300" t="n"/>
      <c r="M109" s="300" t="n"/>
      <c r="N109" s="301" t="n"/>
      <c r="O109" s="16" t="inlineStr">
        <is>
          <t>Virgin Kraft</t>
        </is>
      </c>
      <c r="P109" s="17" t="n">
        <v>230</v>
      </c>
      <c r="Q109" s="17" t="n"/>
      <c r="R109" s="17" t="n"/>
      <c r="S109" s="455" t="n">
        <v>43</v>
      </c>
      <c r="T109" s="61">
        <f>T108</f>
        <v/>
      </c>
      <c r="U109" s="61">
        <f>U108</f>
        <v/>
      </c>
      <c r="V109" s="903">
        <f>((T109*U109*P109)*2/1550)/1000</f>
        <v/>
      </c>
      <c r="W109" s="903">
        <f>V109*S109</f>
        <v/>
      </c>
      <c r="X109" s="903">
        <f>(V109*3%)</f>
        <v/>
      </c>
      <c r="Y109" s="903">
        <f>X109*S109</f>
        <v/>
      </c>
      <c r="Z109" s="903">
        <f>W109+Y109</f>
        <v/>
      </c>
      <c r="AA109" s="903" t="n">
        <v>6.85</v>
      </c>
      <c r="AB109" s="903">
        <f>(V109+X109)*AA109</f>
        <v/>
      </c>
      <c r="AC109" s="650">
        <f>0.5/3</f>
        <v/>
      </c>
      <c r="AD109" s="650" t="n">
        <v>0</v>
      </c>
      <c r="AE109" s="650" t="n">
        <v>0</v>
      </c>
      <c r="AF109" s="650">
        <f>AB109+AC109+AD109+AE109</f>
        <v/>
      </c>
      <c r="AG109" s="650">
        <f>0.1/3</f>
        <v/>
      </c>
      <c r="AH109" s="650">
        <f>(Z109+AF109+AG109)*10%</f>
        <v/>
      </c>
      <c r="AI109" s="650" t="n">
        <v>0</v>
      </c>
      <c r="AJ109" s="864">
        <f>Z109+AF109+AG109+AH109-AI109</f>
        <v/>
      </c>
      <c r="AK109" s="505" t="n"/>
    </row>
    <row r="110" ht="15" customHeight="1">
      <c r="A110" s="706" t="n">
        <v>35</v>
      </c>
      <c r="B110" s="299" t="n">
        <v>46266</v>
      </c>
      <c r="C110" s="706" t="inlineStr">
        <is>
          <t>SKE</t>
        </is>
      </c>
      <c r="D110" s="706" t="n"/>
      <c r="E110" s="1027" t="inlineStr">
        <is>
          <t>Brown Box Interlock - 3 Ply A-Flute 560 GSM</t>
        </is>
      </c>
      <c r="F110" s="706" t="inlineStr">
        <is>
          <t>A</t>
        </is>
      </c>
      <c r="G110" s="706" t="n">
        <v>0</v>
      </c>
      <c r="H110" s="706" t="inlineStr">
        <is>
          <t>3 Ply</t>
        </is>
      </c>
      <c r="I110" s="706" t="inlineStr">
        <is>
          <t>KRTB</t>
        </is>
      </c>
      <c r="J110" s="706" t="n"/>
      <c r="K110" s="706" t="inlineStr">
        <is>
          <t>I</t>
        </is>
      </c>
      <c r="L110" s="300" t="n">
        <v>100</v>
      </c>
      <c r="M110" s="300" t="n">
        <v>100</v>
      </c>
      <c r="N110" s="301" t="n">
        <v>100</v>
      </c>
      <c r="O110" s="16" t="inlineStr">
        <is>
          <t>Virgin Kraft</t>
        </is>
      </c>
      <c r="P110" s="17" t="n">
        <v>230</v>
      </c>
      <c r="Q110" s="17" t="n"/>
      <c r="R110" s="17" t="n"/>
      <c r="S110" s="455" t="n">
        <v>43</v>
      </c>
      <c r="T110" s="150">
        <f>((M110+N110+25)+(M110*70%+20))/25.4</f>
        <v/>
      </c>
      <c r="U110" s="150">
        <f>((L110+M110+35)*2)/25.4</f>
        <v/>
      </c>
      <c r="V110" s="903">
        <f>((T111*U111*P110)/1550)/1000</f>
        <v/>
      </c>
      <c r="W110" s="903">
        <f>V110*S110</f>
        <v/>
      </c>
      <c r="X110" s="903">
        <f>(V110*3%)</f>
        <v/>
      </c>
      <c r="Y110" s="903">
        <f>X110*S110</f>
        <v/>
      </c>
      <c r="Z110" s="903">
        <f>W110+Y110</f>
        <v/>
      </c>
      <c r="AA110" s="903" t="n">
        <v>6.85</v>
      </c>
      <c r="AB110" s="903">
        <f>(V110+X110)*AA110</f>
        <v/>
      </c>
      <c r="AC110" s="650">
        <f>0.5/3</f>
        <v/>
      </c>
      <c r="AD110" s="650" t="n">
        <v>0</v>
      </c>
      <c r="AE110" s="650" t="n">
        <v>0</v>
      </c>
      <c r="AF110" s="650">
        <f>AB110+AC110+AD110+AE110</f>
        <v/>
      </c>
      <c r="AG110" s="650">
        <f>0.1/3</f>
        <v/>
      </c>
      <c r="AH110" s="650">
        <f>(Z110+AF110+AG110)*10%</f>
        <v/>
      </c>
      <c r="AI110" s="650" t="n">
        <v>0</v>
      </c>
      <c r="AJ110" s="864">
        <f>Z110+AF110+AG110+AH110-AI110</f>
        <v/>
      </c>
      <c r="AK110" s="505">
        <f>AJ110+AJ111+AJ112</f>
        <v/>
      </c>
    </row>
    <row r="111">
      <c r="A111" s="706" t="n">
        <v>35</v>
      </c>
      <c r="B111" s="299" t="n">
        <v>46266</v>
      </c>
      <c r="C111" s="706" t="inlineStr">
        <is>
          <t>SKE</t>
        </is>
      </c>
      <c r="D111" s="706" t="n"/>
      <c r="E111" s="1027" t="inlineStr">
        <is>
          <t>Brown Box Interlock - 3 Ply A-Flute 560 GSM</t>
        </is>
      </c>
      <c r="F111" s="706" t="inlineStr">
        <is>
          <t>A</t>
        </is>
      </c>
      <c r="G111" s="706" t="n">
        <v>0</v>
      </c>
      <c r="H111" s="706" t="inlineStr">
        <is>
          <t>3 Ply</t>
        </is>
      </c>
      <c r="I111" s="706" t="inlineStr">
        <is>
          <t>KRTB</t>
        </is>
      </c>
      <c r="J111" s="706" t="n"/>
      <c r="K111" s="706" t="inlineStr">
        <is>
          <t>I</t>
        </is>
      </c>
      <c r="L111" s="300" t="n"/>
      <c r="M111" s="300" t="n"/>
      <c r="N111" s="301" t="n"/>
      <c r="O111" s="16" t="inlineStr">
        <is>
          <t>Semi Kraft</t>
        </is>
      </c>
      <c r="P111" s="17" t="n">
        <v>150</v>
      </c>
      <c r="Q111" s="17" t="n"/>
      <c r="R111" s="17" t="n"/>
      <c r="S111" s="455" t="n">
        <v>41</v>
      </c>
      <c r="T111" s="293">
        <f>IF(MOD(ROUNDUP(T110,0),2)=1,ROUNDUP(T110,0)+1,ROUNDUP(T110,0))</f>
        <v/>
      </c>
      <c r="U111" s="293">
        <f>CEILING($U110,0.5)</f>
        <v/>
      </c>
      <c r="V111" s="903">
        <f>((T111*U111*P111*1.55)/1550)/1000</f>
        <v/>
      </c>
      <c r="W111" s="903">
        <f>V111*S111</f>
        <v/>
      </c>
      <c r="X111" s="903">
        <f>(V111*3%)</f>
        <v/>
      </c>
      <c r="Y111" s="903">
        <f>X111*S111</f>
        <v/>
      </c>
      <c r="Z111" s="903">
        <f>W111+Y111</f>
        <v/>
      </c>
      <c r="AA111" s="903" t="n">
        <v>6.85</v>
      </c>
      <c r="AB111" s="903">
        <f>(V111+X111)*AA111</f>
        <v/>
      </c>
      <c r="AC111" s="650">
        <f>0.5/3</f>
        <v/>
      </c>
      <c r="AD111" s="650" t="n">
        <v>0</v>
      </c>
      <c r="AE111" s="650" t="n">
        <v>0</v>
      </c>
      <c r="AF111" s="650">
        <f>AB111+AC111+AD111+AE111</f>
        <v/>
      </c>
      <c r="AG111" s="650">
        <f>0.1/3</f>
        <v/>
      </c>
      <c r="AH111" s="650">
        <f>(Z111+AF111+AG111)*10%</f>
        <v/>
      </c>
      <c r="AI111" s="650" t="n">
        <v>0</v>
      </c>
      <c r="AJ111" s="864">
        <f>Z111+AF111+AG111+AH111-AI111</f>
        <v/>
      </c>
      <c r="AK111" s="505" t="inlineStr">
        <is>
          <t>ok</t>
        </is>
      </c>
    </row>
    <row r="112">
      <c r="A112" s="706" t="n">
        <v>35</v>
      </c>
      <c r="B112" s="299" t="n">
        <v>46266</v>
      </c>
      <c r="C112" s="706" t="inlineStr">
        <is>
          <t>SKE</t>
        </is>
      </c>
      <c r="D112" s="706" t="n"/>
      <c r="E112" s="1027" t="inlineStr">
        <is>
          <t>Brown Box Interlock - 3 Ply A-Flute 560 GSM</t>
        </is>
      </c>
      <c r="F112" s="706" t="inlineStr">
        <is>
          <t>A</t>
        </is>
      </c>
      <c r="G112" s="706" t="n">
        <v>0</v>
      </c>
      <c r="H112" s="706" t="inlineStr">
        <is>
          <t>3 Ply</t>
        </is>
      </c>
      <c r="I112" s="706" t="inlineStr">
        <is>
          <t>KRTB</t>
        </is>
      </c>
      <c r="J112" s="706" t="n"/>
      <c r="K112" s="706" t="inlineStr">
        <is>
          <t>I</t>
        </is>
      </c>
      <c r="L112" s="300" t="n"/>
      <c r="M112" s="300" t="n"/>
      <c r="N112" s="301" t="n"/>
      <c r="O112" s="16" t="inlineStr">
        <is>
          <t>Virgin Kraft</t>
        </is>
      </c>
      <c r="P112" s="17" t="n">
        <v>180</v>
      </c>
      <c r="Q112" s="17" t="n"/>
      <c r="R112" s="17" t="n"/>
      <c r="S112" s="455" t="n">
        <v>43</v>
      </c>
      <c r="T112" s="61">
        <f>T111</f>
        <v/>
      </c>
      <c r="U112" s="61">
        <f>U111</f>
        <v/>
      </c>
      <c r="V112" s="903">
        <f>((T112*U112*P112)/1550)/1000</f>
        <v/>
      </c>
      <c r="W112" s="903">
        <f>V112*S112</f>
        <v/>
      </c>
      <c r="X112" s="903">
        <f>(V112*3%)</f>
        <v/>
      </c>
      <c r="Y112" s="903">
        <f>X112*S112</f>
        <v/>
      </c>
      <c r="Z112" s="903">
        <f>W112+Y112</f>
        <v/>
      </c>
      <c r="AA112" s="903" t="n">
        <v>6.85</v>
      </c>
      <c r="AB112" s="903">
        <f>(V112+X112)*AA112</f>
        <v/>
      </c>
      <c r="AC112" s="650">
        <f>0.5/3</f>
        <v/>
      </c>
      <c r="AD112" s="650" t="n">
        <v>0</v>
      </c>
      <c r="AE112" s="650" t="n">
        <v>0</v>
      </c>
      <c r="AF112" s="650">
        <f>AB112+AC112+AD112+AE112</f>
        <v/>
      </c>
      <c r="AG112" s="650">
        <f>0.1/3</f>
        <v/>
      </c>
      <c r="AH112" s="650">
        <f>(Z112+AF112+AG112)*10%</f>
        <v/>
      </c>
      <c r="AI112" s="650" t="n">
        <v>0</v>
      </c>
      <c r="AJ112" s="864">
        <f>Z112+AF112+AG112+AH112-AI112</f>
        <v/>
      </c>
      <c r="AK112" s="505" t="n"/>
    </row>
    <row r="113" ht="15" customHeight="1">
      <c r="A113" s="706" t="n">
        <v>36</v>
      </c>
      <c r="B113" s="299" t="n">
        <v>46266</v>
      </c>
      <c r="C113" s="706" t="inlineStr">
        <is>
          <t>SKE</t>
        </is>
      </c>
      <c r="D113" s="327" t="n"/>
      <c r="E113" s="1026" t="inlineStr">
        <is>
          <t>Brown Box Interlock - 5 Ply 890 GSM</t>
        </is>
      </c>
      <c r="F113" s="706" t="inlineStr">
        <is>
          <t>B</t>
        </is>
      </c>
      <c r="G113" s="706" t="n">
        <v>0</v>
      </c>
      <c r="H113" s="706" t="inlineStr">
        <is>
          <t>5 Ply</t>
        </is>
      </c>
      <c r="I113" s="706" t="inlineStr">
        <is>
          <t>KRTB</t>
        </is>
      </c>
      <c r="J113" s="706" t="n"/>
      <c r="K113" s="706" t="inlineStr">
        <is>
          <t>I</t>
        </is>
      </c>
      <c r="L113" s="300" t="n">
        <v>100</v>
      </c>
      <c r="M113" s="300" t="n">
        <v>100</v>
      </c>
      <c r="N113" s="301" t="n">
        <v>100</v>
      </c>
      <c r="O113" s="16" t="inlineStr">
        <is>
          <t>Virgin Kraft</t>
        </is>
      </c>
      <c r="P113" s="17" t="n">
        <v>230</v>
      </c>
      <c r="Q113" s="17" t="n"/>
      <c r="R113" s="17" t="n"/>
      <c r="S113" s="455" t="n">
        <v>43</v>
      </c>
      <c r="T113" s="150">
        <f>((M113+N113+25)+(M113*70%+20))/25.4</f>
        <v/>
      </c>
      <c r="U113" s="150">
        <f>((L113+M113+30)*2)/25.4</f>
        <v/>
      </c>
      <c r="V113" s="903">
        <f>((T114*U114*P113)/1550)/1000</f>
        <v/>
      </c>
      <c r="W113" s="903">
        <f>V113*S113</f>
        <v/>
      </c>
      <c r="X113" s="903">
        <f>(V113*3%)</f>
        <v/>
      </c>
      <c r="Y113" s="903">
        <f>X113*S113</f>
        <v/>
      </c>
      <c r="Z113" s="903">
        <f>W113+Y113</f>
        <v/>
      </c>
      <c r="AA113" s="903" t="n">
        <v>6.85</v>
      </c>
      <c r="AB113" s="903">
        <f>(V113+X113)*AA113</f>
        <v/>
      </c>
      <c r="AC113" s="650">
        <f>0.5/3</f>
        <v/>
      </c>
      <c r="AD113" s="650" t="n">
        <v>0</v>
      </c>
      <c r="AE113" s="650" t="n">
        <v>0</v>
      </c>
      <c r="AF113" s="650">
        <f>AB113+AC113+AD113+AE113</f>
        <v/>
      </c>
      <c r="AG113" s="650">
        <f>0.1/3</f>
        <v/>
      </c>
      <c r="AH113" s="650">
        <f>(Z113+AF113+AG113)*10%</f>
        <v/>
      </c>
      <c r="AI113" s="650" t="n">
        <v>0</v>
      </c>
      <c r="AJ113" s="864">
        <f>Z113+AF113+AG113+AH113-AI113</f>
        <v/>
      </c>
      <c r="AK113" s="505">
        <f>AJ113+AJ114+AJ115</f>
        <v/>
      </c>
    </row>
    <row r="114">
      <c r="A114" s="706" t="n">
        <v>36</v>
      </c>
      <c r="B114" s="299" t="n">
        <v>46266</v>
      </c>
      <c r="C114" s="706" t="inlineStr">
        <is>
          <t>SKE</t>
        </is>
      </c>
      <c r="D114" s="327" t="n"/>
      <c r="E114" s="1026" t="inlineStr">
        <is>
          <t>Brown Box Interlock - 5 Ply 890 GSM</t>
        </is>
      </c>
      <c r="F114" s="706" t="inlineStr">
        <is>
          <t>B</t>
        </is>
      </c>
      <c r="G114" s="706" t="n">
        <v>0</v>
      </c>
      <c r="H114" s="706" t="inlineStr">
        <is>
          <t>5 Ply</t>
        </is>
      </c>
      <c r="I114" s="706" t="inlineStr">
        <is>
          <t>KRTB</t>
        </is>
      </c>
      <c r="J114" s="706" t="n"/>
      <c r="K114" s="706" t="inlineStr">
        <is>
          <t>I</t>
        </is>
      </c>
      <c r="L114" s="300" t="n"/>
      <c r="M114" s="300" t="n"/>
      <c r="N114" s="301" t="n"/>
      <c r="O114" s="16" t="inlineStr">
        <is>
          <t>Semi Kraft</t>
        </is>
      </c>
      <c r="P114" s="17" t="n">
        <v>150</v>
      </c>
      <c r="Q114" s="17" t="n"/>
      <c r="R114" s="17" t="n"/>
      <c r="S114" s="455" t="n">
        <v>41</v>
      </c>
      <c r="T114" s="293">
        <f>IF(MOD(ROUNDUP(T113,0),2)=1,ROUNDUP(T113,0)+1,ROUNDUP(T113,0))</f>
        <v/>
      </c>
      <c r="U114" s="293">
        <f>CEILING($U113,0.5)</f>
        <v/>
      </c>
      <c r="V114" s="903">
        <f>((T114*U114*P114*1.45)/1550)*2/1000</f>
        <v/>
      </c>
      <c r="W114" s="903">
        <f>V114*S114</f>
        <v/>
      </c>
      <c r="X114" s="903">
        <f>(V114*3%)</f>
        <v/>
      </c>
      <c r="Y114" s="903">
        <f>X114*S114</f>
        <v/>
      </c>
      <c r="Z114" s="903">
        <f>W114+Y114</f>
        <v/>
      </c>
      <c r="AA114" s="903" t="n">
        <v>6.85</v>
      </c>
      <c r="AB114" s="903">
        <f>(V114+X114)*AA114</f>
        <v/>
      </c>
      <c r="AC114" s="650">
        <f>0.5/3</f>
        <v/>
      </c>
      <c r="AD114" s="650" t="n">
        <v>0</v>
      </c>
      <c r="AE114" s="650" t="n">
        <v>0</v>
      </c>
      <c r="AF114" s="650">
        <f>AB114+AC114+AD114+AE114</f>
        <v/>
      </c>
      <c r="AG114" s="650">
        <f>0.1/3</f>
        <v/>
      </c>
      <c r="AH114" s="650">
        <f>(Z114+AF114+AG114)*10%</f>
        <v/>
      </c>
      <c r="AI114" s="650" t="n">
        <v>0</v>
      </c>
      <c r="AJ114" s="864">
        <f>Z114+AF114+AG114+AH114-AI114</f>
        <v/>
      </c>
      <c r="AK114" s="505" t="inlineStr">
        <is>
          <t>ok</t>
        </is>
      </c>
    </row>
    <row r="115">
      <c r="A115" s="706" t="n">
        <v>36</v>
      </c>
      <c r="B115" s="299" t="n">
        <v>46266</v>
      </c>
      <c r="C115" s="706" t="inlineStr">
        <is>
          <t>SKE</t>
        </is>
      </c>
      <c r="D115" s="327" t="n"/>
      <c r="E115" s="1026" t="inlineStr">
        <is>
          <t>Brown Box Interlock - 5 Ply 890 GSM</t>
        </is>
      </c>
      <c r="F115" s="706" t="inlineStr">
        <is>
          <t>B</t>
        </is>
      </c>
      <c r="G115" s="706" t="n">
        <v>0</v>
      </c>
      <c r="H115" s="706" t="inlineStr">
        <is>
          <t>5 Ply</t>
        </is>
      </c>
      <c r="I115" s="706" t="inlineStr">
        <is>
          <t>KRTB</t>
        </is>
      </c>
      <c r="J115" s="706" t="n"/>
      <c r="K115" s="706" t="inlineStr">
        <is>
          <t>I</t>
        </is>
      </c>
      <c r="L115" s="300" t="n"/>
      <c r="M115" s="300" t="n"/>
      <c r="N115" s="301" t="n"/>
      <c r="O115" s="16" t="inlineStr">
        <is>
          <t>Virgin Kraft</t>
        </is>
      </c>
      <c r="P115" s="17" t="n">
        <v>180</v>
      </c>
      <c r="Q115" s="17" t="n"/>
      <c r="R115" s="17" t="n"/>
      <c r="S115" s="455" t="n">
        <v>43</v>
      </c>
      <c r="T115" s="61">
        <f>T114</f>
        <v/>
      </c>
      <c r="U115" s="61">
        <f>U114</f>
        <v/>
      </c>
      <c r="V115" s="903">
        <f>((T115*U115*P115)/1550)*2/1000</f>
        <v/>
      </c>
      <c r="W115" s="903">
        <f>V115*S115</f>
        <v/>
      </c>
      <c r="X115" s="903">
        <f>(V115*3%)</f>
        <v/>
      </c>
      <c r="Y115" s="903">
        <f>X115*S115</f>
        <v/>
      </c>
      <c r="Z115" s="903">
        <f>W115+Y115</f>
        <v/>
      </c>
      <c r="AA115" s="903" t="n">
        <v>6.85</v>
      </c>
      <c r="AB115" s="903">
        <f>(V115+X115)*AA115</f>
        <v/>
      </c>
      <c r="AC115" s="650">
        <f>0.5/3</f>
        <v/>
      </c>
      <c r="AD115" s="650" t="n">
        <v>0</v>
      </c>
      <c r="AE115" s="650" t="n">
        <v>0</v>
      </c>
      <c r="AF115" s="650">
        <f>AB115+AC115+AD115+AE115</f>
        <v/>
      </c>
      <c r="AG115" s="650">
        <f>0.1/3</f>
        <v/>
      </c>
      <c r="AH115" s="650">
        <f>(Z115+AF115+AG115)*10%</f>
        <v/>
      </c>
      <c r="AI115" s="650" t="n">
        <v>0</v>
      </c>
      <c r="AJ115" s="864">
        <f>Z115+AF115+AG115+AH115-AI115</f>
        <v/>
      </c>
      <c r="AK115" s="505" t="n"/>
    </row>
    <row r="116" ht="15" customHeight="1">
      <c r="A116" s="706" t="n">
        <v>37</v>
      </c>
      <c r="B116" s="299" t="n">
        <v>46266</v>
      </c>
      <c r="C116" s="706" t="inlineStr">
        <is>
          <t>SKE</t>
        </is>
      </c>
      <c r="D116" s="303" t="n"/>
      <c r="E116" s="1031" t="inlineStr">
        <is>
          <t>Master Box Universal &lt; 300 mm 3 PLY (OVERLAP TYPE BOX) 560 GSM</t>
        </is>
      </c>
      <c r="F116" s="303" t="inlineStr">
        <is>
          <t>B</t>
        </is>
      </c>
      <c r="G116" s="706" t="n">
        <v>0</v>
      </c>
      <c r="H116" s="706" t="inlineStr">
        <is>
          <t>3 Ply</t>
        </is>
      </c>
      <c r="I116" s="1030" t="inlineStr">
        <is>
          <t>KM</t>
        </is>
      </c>
      <c r="J116" s="706" t="inlineStr">
        <is>
          <t>&lt; 300 mm</t>
        </is>
      </c>
      <c r="K116" s="706" t="inlineStr">
        <is>
          <t>U</t>
        </is>
      </c>
      <c r="L116" s="300" t="n">
        <v>100</v>
      </c>
      <c r="M116" s="300" t="n">
        <v>100</v>
      </c>
      <c r="N116" s="301" t="n">
        <v>100</v>
      </c>
      <c r="O116" s="16" t="inlineStr">
        <is>
          <t>Virgin Kraft</t>
        </is>
      </c>
      <c r="P116" s="17" t="n">
        <v>230</v>
      </c>
      <c r="Q116" s="17" t="n"/>
      <c r="R116" s="17" t="n"/>
      <c r="S116" s="455" t="n">
        <v>43</v>
      </c>
      <c r="T116" s="150">
        <f>(M116+M116+N116+10)/25.4</f>
        <v/>
      </c>
      <c r="U116" s="150">
        <f>((L116+M116)*2+55)/25.4</f>
        <v/>
      </c>
      <c r="V116" s="903">
        <f>((T117*U117*P116)/1550)/1000</f>
        <v/>
      </c>
      <c r="W116" s="903">
        <f>V116*S116</f>
        <v/>
      </c>
      <c r="X116" s="903">
        <f>(V116*3%)</f>
        <v/>
      </c>
      <c r="Y116" s="903">
        <f>X116*S116</f>
        <v/>
      </c>
      <c r="Z116" s="903">
        <f>W116+Y116</f>
        <v/>
      </c>
      <c r="AA116" s="903" t="n">
        <v>6.85</v>
      </c>
      <c r="AB116" s="903">
        <f>(V116+X116)*AA116</f>
        <v/>
      </c>
      <c r="AC116" s="650">
        <f>0.5/3</f>
        <v/>
      </c>
      <c r="AD116" s="650" t="n">
        <v>0</v>
      </c>
      <c r="AE116" s="650" t="n">
        <v>0</v>
      </c>
      <c r="AF116" s="650">
        <f>AB116+AC116+AD116+AE116</f>
        <v/>
      </c>
      <c r="AG116" s="650">
        <f>0.1/3</f>
        <v/>
      </c>
      <c r="AH116" s="650">
        <f>(Z116+AF116+AG116)*10%</f>
        <v/>
      </c>
      <c r="AI116" s="650" t="n">
        <v>0</v>
      </c>
      <c r="AJ116" s="864">
        <f>Z116+AF116+AG116+AH116-AI116</f>
        <v/>
      </c>
      <c r="AK116" s="505">
        <f>AJ116+AJ117+AJ118</f>
        <v/>
      </c>
    </row>
    <row r="117" ht="17.25" customHeight="1">
      <c r="A117" s="706" t="n">
        <v>37</v>
      </c>
      <c r="B117" s="299" t="n">
        <v>46266</v>
      </c>
      <c r="C117" s="706" t="inlineStr">
        <is>
          <t>SKE</t>
        </is>
      </c>
      <c r="D117" s="303" t="n"/>
      <c r="E117" s="1031" t="inlineStr">
        <is>
          <t>Master Box Universal &lt; 300 mm 3 PLY (OVERLAP TYPE BOX) 560 GSM</t>
        </is>
      </c>
      <c r="F117" s="303" t="inlineStr">
        <is>
          <t>B</t>
        </is>
      </c>
      <c r="G117" s="706" t="n">
        <v>0</v>
      </c>
      <c r="H117" s="706" t="inlineStr">
        <is>
          <t>3 Ply</t>
        </is>
      </c>
      <c r="I117" s="1030" t="inlineStr">
        <is>
          <t>KM</t>
        </is>
      </c>
      <c r="J117" s="706" t="inlineStr">
        <is>
          <t>&lt; 300 mm</t>
        </is>
      </c>
      <c r="K117" s="706" t="inlineStr">
        <is>
          <t>U</t>
        </is>
      </c>
      <c r="L117" s="300" t="n"/>
      <c r="M117" s="300" t="n"/>
      <c r="N117" s="301" t="n"/>
      <c r="O117" s="16" t="inlineStr">
        <is>
          <t>Semi Kraft</t>
        </is>
      </c>
      <c r="P117" s="17" t="n">
        <v>150</v>
      </c>
      <c r="Q117" s="17" t="n"/>
      <c r="R117" s="17" t="n"/>
      <c r="S117" s="455" t="n">
        <v>41</v>
      </c>
      <c r="T117" s="61">
        <f>ROUNDUP($T116,0)+0.2</f>
        <v/>
      </c>
      <c r="U117" s="61">
        <f>ROUNDUP($U116,0)+0.3</f>
        <v/>
      </c>
      <c r="V117" s="903">
        <f>((T117*U117*P117*1.45)/1550)/1000</f>
        <v/>
      </c>
      <c r="W117" s="903">
        <f>V117*S117</f>
        <v/>
      </c>
      <c r="X117" s="903">
        <f>(V117*3%)</f>
        <v/>
      </c>
      <c r="Y117" s="903">
        <f>X117*S117</f>
        <v/>
      </c>
      <c r="Z117" s="903">
        <f>W117+Y117</f>
        <v/>
      </c>
      <c r="AA117" s="903" t="n">
        <v>6.85</v>
      </c>
      <c r="AB117" s="903">
        <f>(V117+X117)*AA117</f>
        <v/>
      </c>
      <c r="AC117" s="650">
        <f>0.5/3</f>
        <v/>
      </c>
      <c r="AD117" s="650" t="n">
        <v>0</v>
      </c>
      <c r="AE117" s="650" t="n">
        <v>0</v>
      </c>
      <c r="AF117" s="650">
        <f>AB117+AC117+AD117+AE117</f>
        <v/>
      </c>
      <c r="AG117" s="650">
        <f>0.1/3</f>
        <v/>
      </c>
      <c r="AH117" s="650">
        <f>(Z117+AF117+AG117)*10%</f>
        <v/>
      </c>
      <c r="AI117" s="650" t="n">
        <v>0</v>
      </c>
      <c r="AJ117" s="864">
        <f>Z117+AF117+AG117+AH117-AI117</f>
        <v/>
      </c>
      <c r="AK117" s="505" t="inlineStr">
        <is>
          <t>ok</t>
        </is>
      </c>
    </row>
    <row r="118">
      <c r="A118" s="706" t="n">
        <v>37</v>
      </c>
      <c r="B118" s="299" t="n">
        <v>46266</v>
      </c>
      <c r="C118" s="706" t="inlineStr">
        <is>
          <t>SKE</t>
        </is>
      </c>
      <c r="D118" s="303" t="n"/>
      <c r="E118" s="1031" t="inlineStr">
        <is>
          <t>Master Box Universal &lt; 300 mm 3 PLY (OVERLAP TYPE BOX) 560 GSM</t>
        </is>
      </c>
      <c r="F118" s="303" t="inlineStr">
        <is>
          <t>B</t>
        </is>
      </c>
      <c r="G118" s="706" t="n">
        <v>0</v>
      </c>
      <c r="H118" s="706" t="inlineStr">
        <is>
          <t>3 Ply</t>
        </is>
      </c>
      <c r="I118" s="1030" t="inlineStr">
        <is>
          <t>KM</t>
        </is>
      </c>
      <c r="J118" s="706" t="inlineStr">
        <is>
          <t>&lt; 300 mm</t>
        </is>
      </c>
      <c r="K118" s="706" t="inlineStr">
        <is>
          <t>U</t>
        </is>
      </c>
      <c r="L118" s="300" t="n"/>
      <c r="M118" s="300" t="n"/>
      <c r="N118" s="301" t="n"/>
      <c r="O118" s="16" t="inlineStr">
        <is>
          <t>Virgin Kraft</t>
        </is>
      </c>
      <c r="P118" s="17" t="n">
        <v>180</v>
      </c>
      <c r="Q118" s="17" t="n"/>
      <c r="R118" s="17" t="n"/>
      <c r="S118" s="455" t="n">
        <v>43</v>
      </c>
      <c r="T118" s="61">
        <f>T117</f>
        <v/>
      </c>
      <c r="U118" s="61">
        <f>U117</f>
        <v/>
      </c>
      <c r="V118" s="903">
        <f>((T118*U118*P118)/1550)/1000</f>
        <v/>
      </c>
      <c r="W118" s="903">
        <f>V118*S118</f>
        <v/>
      </c>
      <c r="X118" s="903">
        <f>(V118*3%)</f>
        <v/>
      </c>
      <c r="Y118" s="903">
        <f>X118*S118</f>
        <v/>
      </c>
      <c r="Z118" s="903">
        <f>W118+Y118</f>
        <v/>
      </c>
      <c r="AA118" s="903" t="n">
        <v>6.85</v>
      </c>
      <c r="AB118" s="903">
        <f>(V118+X118)*AA118</f>
        <v/>
      </c>
      <c r="AC118" s="650">
        <f>0.5/3</f>
        <v/>
      </c>
      <c r="AD118" s="650" t="n">
        <v>0</v>
      </c>
      <c r="AE118" s="650" t="n">
        <v>0</v>
      </c>
      <c r="AF118" s="650">
        <f>AB118+AC118+AD118+AE118</f>
        <v/>
      </c>
      <c r="AG118" s="650">
        <f>0.1/3</f>
        <v/>
      </c>
      <c r="AH118" s="650">
        <f>(Z118+AF118+AG118)*10%</f>
        <v/>
      </c>
      <c r="AI118" s="650" t="n">
        <v>0</v>
      </c>
      <c r="AJ118" s="864">
        <f>Z118+AF118+AG118+AH118-AI118</f>
        <v/>
      </c>
      <c r="AK118" s="505" t="n"/>
    </row>
    <row r="119" ht="15" customHeight="1">
      <c r="A119" s="706" t="n">
        <v>38</v>
      </c>
      <c r="B119" s="299" t="n">
        <v>46266</v>
      </c>
      <c r="C119" s="706" t="inlineStr">
        <is>
          <t>SKE</t>
        </is>
      </c>
      <c r="D119" s="303" t="n"/>
      <c r="E119" s="1031" t="inlineStr">
        <is>
          <t>Master Box Universal &lt; 300 mm 5 PLY (OVERLAP TYPE BOX) 890 GSM</t>
        </is>
      </c>
      <c r="F119" s="303" t="inlineStr">
        <is>
          <t>B</t>
        </is>
      </c>
      <c r="G119" s="706" t="n">
        <v>0</v>
      </c>
      <c r="H119" s="706" t="inlineStr">
        <is>
          <t>5 Ply</t>
        </is>
      </c>
      <c r="I119" s="1030" t="inlineStr">
        <is>
          <t>KM</t>
        </is>
      </c>
      <c r="J119" s="706" t="inlineStr">
        <is>
          <t>&lt; 300 mm</t>
        </is>
      </c>
      <c r="K119" s="706" t="inlineStr">
        <is>
          <t>U</t>
        </is>
      </c>
      <c r="L119" s="300" t="n">
        <v>100</v>
      </c>
      <c r="M119" s="300" t="n">
        <v>100</v>
      </c>
      <c r="N119" s="301" t="n">
        <v>100</v>
      </c>
      <c r="O119" s="16" t="inlineStr">
        <is>
          <t>Virgin Kraft</t>
        </is>
      </c>
      <c r="P119" s="17" t="n">
        <v>230</v>
      </c>
      <c r="Q119" s="17" t="n"/>
      <c r="R119" s="17" t="n"/>
      <c r="S119" s="455" t="n">
        <v>43</v>
      </c>
      <c r="T119" s="150">
        <f>(M119+M119+N119+10)/25.4</f>
        <v/>
      </c>
      <c r="U119" s="150">
        <f>((L119+M119)*2+55)/25.4</f>
        <v/>
      </c>
      <c r="V119" s="903">
        <f>((T120*U120*P119)/1550)/1000</f>
        <v/>
      </c>
      <c r="W119" s="903">
        <f>V119*S119</f>
        <v/>
      </c>
      <c r="X119" s="903">
        <f>(V119*3%)</f>
        <v/>
      </c>
      <c r="Y119" s="903">
        <f>X119*S119</f>
        <v/>
      </c>
      <c r="Z119" s="903">
        <f>W119+Y119</f>
        <v/>
      </c>
      <c r="AA119" s="903" t="n">
        <v>6.85</v>
      </c>
      <c r="AB119" s="903">
        <f>(V119+X119)*AA119</f>
        <v/>
      </c>
      <c r="AC119" s="650">
        <f>0.5/3</f>
        <v/>
      </c>
      <c r="AD119" s="650" t="n">
        <v>0</v>
      </c>
      <c r="AE119" s="650" t="n">
        <v>0</v>
      </c>
      <c r="AF119" s="650">
        <f>AB119+AC119+AD119+AE119</f>
        <v/>
      </c>
      <c r="AG119" s="650">
        <f>0.1/3</f>
        <v/>
      </c>
      <c r="AH119" s="650">
        <f>(Z119+AF119+AG119)*10%</f>
        <v/>
      </c>
      <c r="AI119" s="650" t="n">
        <v>0</v>
      </c>
      <c r="AJ119" s="864">
        <f>Z119+AF119+AG119+AH119-AI119</f>
        <v/>
      </c>
      <c r="AK119" s="505">
        <f>AJ119+AJ120+AJ121</f>
        <v/>
      </c>
    </row>
    <row r="120">
      <c r="A120" s="706" t="n">
        <v>38</v>
      </c>
      <c r="B120" s="299" t="n">
        <v>46266</v>
      </c>
      <c r="C120" s="706" t="inlineStr">
        <is>
          <t>SKE</t>
        </is>
      </c>
      <c r="D120" s="303" t="n"/>
      <c r="E120" s="1031" t="inlineStr">
        <is>
          <t>Master Box Universal &lt; 300 mm 5 PLY (OVERLAP TYPE BOX) 890 GSM</t>
        </is>
      </c>
      <c r="F120" s="303" t="inlineStr">
        <is>
          <t>B</t>
        </is>
      </c>
      <c r="G120" s="706" t="n">
        <v>0</v>
      </c>
      <c r="H120" s="706" t="inlineStr">
        <is>
          <t>5 Ply</t>
        </is>
      </c>
      <c r="I120" s="1030" t="inlineStr">
        <is>
          <t>KM</t>
        </is>
      </c>
      <c r="J120" s="706" t="inlineStr">
        <is>
          <t>&lt; 300 mm</t>
        </is>
      </c>
      <c r="K120" s="706" t="inlineStr">
        <is>
          <t>U</t>
        </is>
      </c>
      <c r="L120" s="300" t="n"/>
      <c r="M120" s="300" t="n"/>
      <c r="N120" s="301" t="n"/>
      <c r="O120" s="16" t="inlineStr">
        <is>
          <t>Semi Kraft</t>
        </is>
      </c>
      <c r="P120" s="17" t="n">
        <v>150</v>
      </c>
      <c r="Q120" s="17" t="n"/>
      <c r="R120" s="17" t="n"/>
      <c r="S120" s="455" t="n">
        <v>41</v>
      </c>
      <c r="T120" s="61">
        <f>ROUNDUP($T119,0)+0.2</f>
        <v/>
      </c>
      <c r="U120" s="61">
        <f>ROUNDUP($U119,0)+0.3</f>
        <v/>
      </c>
      <c r="V120" s="903">
        <f>((T120*U120*P120*1.45)*2/1550)/1000</f>
        <v/>
      </c>
      <c r="W120" s="903">
        <f>V120*S120</f>
        <v/>
      </c>
      <c r="X120" s="903">
        <f>(V120*3%)</f>
        <v/>
      </c>
      <c r="Y120" s="903">
        <f>X120*S120</f>
        <v/>
      </c>
      <c r="Z120" s="903">
        <f>W120+Y120</f>
        <v/>
      </c>
      <c r="AA120" s="903" t="n">
        <v>6.85</v>
      </c>
      <c r="AB120" s="903">
        <f>(V120+X120)*AA120</f>
        <v/>
      </c>
      <c r="AC120" s="650">
        <f>0.5/3</f>
        <v/>
      </c>
      <c r="AD120" s="650" t="n">
        <v>0</v>
      </c>
      <c r="AE120" s="650" t="n">
        <v>0</v>
      </c>
      <c r="AF120" s="650">
        <f>AB120+AC120+AD120+AE120</f>
        <v/>
      </c>
      <c r="AG120" s="650">
        <f>0.1/3</f>
        <v/>
      </c>
      <c r="AH120" s="650">
        <f>(Z120+AF120+AG120)*10%</f>
        <v/>
      </c>
      <c r="AI120" s="650" t="n">
        <v>0</v>
      </c>
      <c r="AJ120" s="864">
        <f>Z120+AF120+AG120+AH120-AI120</f>
        <v/>
      </c>
      <c r="AK120" s="505" t="inlineStr">
        <is>
          <t>ok</t>
        </is>
      </c>
    </row>
    <row r="121">
      <c r="A121" s="706" t="n">
        <v>38</v>
      </c>
      <c r="B121" s="299" t="n">
        <v>46266</v>
      </c>
      <c r="C121" s="706" t="inlineStr">
        <is>
          <t>SKE</t>
        </is>
      </c>
      <c r="D121" s="303" t="n"/>
      <c r="E121" s="1031" t="inlineStr">
        <is>
          <t>Master Box Universal &lt; 300 mm 5 PLY (OVERLAP TYPE BOX) 890 GSM</t>
        </is>
      </c>
      <c r="F121" s="303" t="inlineStr">
        <is>
          <t>B</t>
        </is>
      </c>
      <c r="G121" s="706" t="n">
        <v>0</v>
      </c>
      <c r="H121" s="706" t="inlineStr">
        <is>
          <t>5 Ply</t>
        </is>
      </c>
      <c r="I121" s="1030" t="inlineStr">
        <is>
          <t>KM</t>
        </is>
      </c>
      <c r="J121" s="706" t="inlineStr">
        <is>
          <t>&lt; 300 mm</t>
        </is>
      </c>
      <c r="K121" s="706" t="inlineStr">
        <is>
          <t>U</t>
        </is>
      </c>
      <c r="L121" s="300" t="n"/>
      <c r="M121" s="300" t="n"/>
      <c r="N121" s="301" t="n"/>
      <c r="O121" s="16" t="inlineStr">
        <is>
          <t>Virgin Kraft</t>
        </is>
      </c>
      <c r="P121" s="17" t="n">
        <v>180</v>
      </c>
      <c r="Q121" s="17" t="n"/>
      <c r="R121" s="17" t="n"/>
      <c r="S121" s="455" t="n">
        <v>43</v>
      </c>
      <c r="T121" s="61">
        <f>T120</f>
        <v/>
      </c>
      <c r="U121" s="61">
        <f>U120</f>
        <v/>
      </c>
      <c r="V121" s="903">
        <f>((T121*U121*P121)*2/1550)/1000</f>
        <v/>
      </c>
      <c r="W121" s="903">
        <f>V121*S121</f>
        <v/>
      </c>
      <c r="X121" s="903">
        <f>(V121*3%)</f>
        <v/>
      </c>
      <c r="Y121" s="903">
        <f>X121*S121</f>
        <v/>
      </c>
      <c r="Z121" s="903">
        <f>W121+Y121</f>
        <v/>
      </c>
      <c r="AA121" s="903" t="n">
        <v>6.85</v>
      </c>
      <c r="AB121" s="903">
        <f>(V121+X121)*AA121</f>
        <v/>
      </c>
      <c r="AC121" s="650">
        <f>0.5/3</f>
        <v/>
      </c>
      <c r="AD121" s="650" t="n">
        <v>0</v>
      </c>
      <c r="AE121" s="650" t="n">
        <v>0</v>
      </c>
      <c r="AF121" s="650">
        <f>AB121+AC121+AD121+AE121</f>
        <v/>
      </c>
      <c r="AG121" s="650">
        <f>0.1/3</f>
        <v/>
      </c>
      <c r="AH121" s="650">
        <f>(Z121+AF121+AG121)*10%</f>
        <v/>
      </c>
      <c r="AI121" s="650" t="n">
        <v>0</v>
      </c>
      <c r="AJ121" s="864">
        <f>Z121+AF121+AG121+AH121-AI121</f>
        <v/>
      </c>
      <c r="AK121" s="505" t="n"/>
    </row>
    <row r="122" ht="15" customHeight="1">
      <c r="A122" s="706" t="n">
        <v>39</v>
      </c>
      <c r="B122" s="299" t="n">
        <v>46266</v>
      </c>
      <c r="C122" s="706" t="inlineStr">
        <is>
          <t>SKE</t>
        </is>
      </c>
      <c r="D122" s="303" t="n"/>
      <c r="E122" s="1031" t="inlineStr">
        <is>
          <t>Master Box Universal &gt; 300 mm 3 PLY (OVERLAP TYPE BOX) 560 GSM</t>
        </is>
      </c>
      <c r="F122" s="303" t="inlineStr">
        <is>
          <t>B</t>
        </is>
      </c>
      <c r="G122" s="706" t="n">
        <v>0</v>
      </c>
      <c r="H122" s="706" t="inlineStr">
        <is>
          <t>3 Ply</t>
        </is>
      </c>
      <c r="I122" s="1030" t="inlineStr">
        <is>
          <t>KM</t>
        </is>
      </c>
      <c r="J122" s="706" t="inlineStr">
        <is>
          <t>&gt; 300 mm</t>
        </is>
      </c>
      <c r="K122" s="706" t="inlineStr">
        <is>
          <t>U</t>
        </is>
      </c>
      <c r="L122" s="300" t="n">
        <v>100</v>
      </c>
      <c r="M122" s="300" t="n">
        <v>100</v>
      </c>
      <c r="N122" s="301" t="n">
        <v>100</v>
      </c>
      <c r="O122" s="16" t="inlineStr">
        <is>
          <t>Virgin Kraft</t>
        </is>
      </c>
      <c r="P122" s="17" t="n">
        <v>230</v>
      </c>
      <c r="Q122" s="17" t="n"/>
      <c r="R122" s="17" t="n"/>
      <c r="S122" s="455" t="n">
        <v>43</v>
      </c>
      <c r="T122" s="150">
        <f>(M122+M122+N122+10)/25.4</f>
        <v/>
      </c>
      <c r="U122" s="150">
        <f>((L122+M122+55)*2)/25.4</f>
        <v/>
      </c>
      <c r="V122" s="903">
        <f>((T123*U123*P122)/1550)/1000</f>
        <v/>
      </c>
      <c r="W122" s="903">
        <f>V122*S122</f>
        <v/>
      </c>
      <c r="X122" s="903">
        <f>(V122*3%)</f>
        <v/>
      </c>
      <c r="Y122" s="903">
        <f>X122*S122</f>
        <v/>
      </c>
      <c r="Z122" s="903">
        <f>W122+Y122</f>
        <v/>
      </c>
      <c r="AA122" s="903" t="n">
        <v>6.85</v>
      </c>
      <c r="AB122" s="903">
        <f>(V122+X122)*AA122</f>
        <v/>
      </c>
      <c r="AC122" s="650">
        <f>0.5/3</f>
        <v/>
      </c>
      <c r="AD122" s="650" t="n">
        <v>0</v>
      </c>
      <c r="AE122" s="650" t="n">
        <v>0</v>
      </c>
      <c r="AF122" s="650">
        <f>AB122+AC122+AD122+AE122</f>
        <v/>
      </c>
      <c r="AG122" s="650">
        <f>0.1/3</f>
        <v/>
      </c>
      <c r="AH122" s="650">
        <f>(Z122+AF122+AG122)*10%</f>
        <v/>
      </c>
      <c r="AI122" s="650" t="n">
        <v>0</v>
      </c>
      <c r="AJ122" s="864">
        <f>Z122+AF122+AG122+AH122-AI122</f>
        <v/>
      </c>
      <c r="AK122" s="505">
        <f>AJ122+AJ123+AJ124</f>
        <v/>
      </c>
    </row>
    <row r="123">
      <c r="A123" s="706" t="n">
        <v>39</v>
      </c>
      <c r="B123" s="299" t="n">
        <v>46266</v>
      </c>
      <c r="C123" s="706" t="inlineStr">
        <is>
          <t>SKE</t>
        </is>
      </c>
      <c r="D123" s="303" t="n"/>
      <c r="E123" s="1031" t="inlineStr">
        <is>
          <t>Master Box Universal &gt; 300 mm 3 PLY (OVERLAP TYPE BOX) 560 GSM</t>
        </is>
      </c>
      <c r="F123" s="303" t="inlineStr">
        <is>
          <t>B</t>
        </is>
      </c>
      <c r="G123" s="706" t="n">
        <v>0</v>
      </c>
      <c r="H123" s="706" t="inlineStr">
        <is>
          <t>3 Ply</t>
        </is>
      </c>
      <c r="I123" s="1030" t="inlineStr">
        <is>
          <t>KM</t>
        </is>
      </c>
      <c r="J123" s="706" t="inlineStr">
        <is>
          <t>&gt; 300 mm</t>
        </is>
      </c>
      <c r="K123" s="706" t="inlineStr">
        <is>
          <t>U</t>
        </is>
      </c>
      <c r="L123" s="300" t="n"/>
      <c r="M123" s="300" t="n"/>
      <c r="N123" s="301" t="n"/>
      <c r="O123" s="16" t="inlineStr">
        <is>
          <t>Semi Kraft</t>
        </is>
      </c>
      <c r="P123" s="17" t="n">
        <v>150</v>
      </c>
      <c r="Q123" s="17" t="n"/>
      <c r="R123" s="17" t="n"/>
      <c r="S123" s="455" t="n">
        <v>41</v>
      </c>
      <c r="T123" s="61">
        <f>ROUNDUP($T122,0)+0.2</f>
        <v/>
      </c>
      <c r="U123" s="61">
        <f>ROUNDUP($U122,0)+0.3</f>
        <v/>
      </c>
      <c r="V123" s="903">
        <f>((T123*U123*P123*1.45)/1550)/1000</f>
        <v/>
      </c>
      <c r="W123" s="903">
        <f>V123*S123</f>
        <v/>
      </c>
      <c r="X123" s="903">
        <f>(V123*3%)</f>
        <v/>
      </c>
      <c r="Y123" s="903">
        <f>X123*S123</f>
        <v/>
      </c>
      <c r="Z123" s="903">
        <f>W123+Y123</f>
        <v/>
      </c>
      <c r="AA123" s="903" t="n">
        <v>6.85</v>
      </c>
      <c r="AB123" s="903">
        <f>(V123+X123)*AA123</f>
        <v/>
      </c>
      <c r="AC123" s="650">
        <f>0.5/3</f>
        <v/>
      </c>
      <c r="AD123" s="650" t="n">
        <v>0</v>
      </c>
      <c r="AE123" s="650" t="n">
        <v>0</v>
      </c>
      <c r="AF123" s="650">
        <f>AB123+AC123+AD123+AE123</f>
        <v/>
      </c>
      <c r="AG123" s="650">
        <f>0.1/3</f>
        <v/>
      </c>
      <c r="AH123" s="650">
        <f>(Z123+AF123+AG123)*10%</f>
        <v/>
      </c>
      <c r="AI123" s="650" t="n">
        <v>0</v>
      </c>
      <c r="AJ123" s="864">
        <f>Z123+AF123+AG123+AH123-AI123</f>
        <v/>
      </c>
      <c r="AK123" s="505" t="inlineStr">
        <is>
          <t>ok</t>
        </is>
      </c>
    </row>
    <row r="124">
      <c r="A124" s="706" t="n">
        <v>39</v>
      </c>
      <c r="B124" s="299" t="n">
        <v>46266</v>
      </c>
      <c r="C124" s="706" t="inlineStr">
        <is>
          <t>SKE</t>
        </is>
      </c>
      <c r="D124" s="303" t="n"/>
      <c r="E124" s="1031" t="inlineStr">
        <is>
          <t>Master Box Universal &gt; 300 mm 3 PLY (OVERLAP TYPE BOX) 560 GSM</t>
        </is>
      </c>
      <c r="F124" s="303" t="inlineStr">
        <is>
          <t>B</t>
        </is>
      </c>
      <c r="G124" s="706" t="n">
        <v>0</v>
      </c>
      <c r="H124" s="706" t="inlineStr">
        <is>
          <t>3 Ply</t>
        </is>
      </c>
      <c r="I124" s="1030" t="inlineStr">
        <is>
          <t>KM</t>
        </is>
      </c>
      <c r="J124" s="706" t="inlineStr">
        <is>
          <t>&gt; 300 mm</t>
        </is>
      </c>
      <c r="K124" s="706" t="inlineStr">
        <is>
          <t>U</t>
        </is>
      </c>
      <c r="L124" s="300" t="n"/>
      <c r="M124" s="300" t="n"/>
      <c r="N124" s="301" t="n"/>
      <c r="O124" s="16" t="inlineStr">
        <is>
          <t>Virgin Kraft</t>
        </is>
      </c>
      <c r="P124" s="17" t="n">
        <v>180</v>
      </c>
      <c r="Q124" s="17" t="n"/>
      <c r="R124" s="17" t="n"/>
      <c r="S124" s="455" t="n">
        <v>43</v>
      </c>
      <c r="T124" s="61">
        <f>T123</f>
        <v/>
      </c>
      <c r="U124" s="61">
        <f>U123</f>
        <v/>
      </c>
      <c r="V124" s="903">
        <f>((T124*U124*P124)/1550)/1000</f>
        <v/>
      </c>
      <c r="W124" s="903">
        <f>V124*S124</f>
        <v/>
      </c>
      <c r="X124" s="903">
        <f>(V124*3%)</f>
        <v/>
      </c>
      <c r="Y124" s="903">
        <f>X124*S124</f>
        <v/>
      </c>
      <c r="Z124" s="903">
        <f>W124+Y124</f>
        <v/>
      </c>
      <c r="AA124" s="903" t="n">
        <v>6.85</v>
      </c>
      <c r="AB124" s="903">
        <f>(V124+X124)*AA124</f>
        <v/>
      </c>
      <c r="AC124" s="650">
        <f>0.5/3</f>
        <v/>
      </c>
      <c r="AD124" s="650" t="n">
        <v>0</v>
      </c>
      <c r="AE124" s="650" t="n">
        <v>0</v>
      </c>
      <c r="AF124" s="650">
        <f>AB124+AC124+AD124+AE124</f>
        <v/>
      </c>
      <c r="AG124" s="650">
        <f>0.1/3</f>
        <v/>
      </c>
      <c r="AH124" s="650">
        <f>(Z124+AF124+AG124)*10%</f>
        <v/>
      </c>
      <c r="AI124" s="650" t="n">
        <v>0</v>
      </c>
      <c r="AJ124" s="864">
        <f>Z124+AF124+AG124+AH124-AI124</f>
        <v/>
      </c>
      <c r="AK124" s="505" t="n"/>
    </row>
    <row r="125" ht="15" customHeight="1">
      <c r="A125" s="706" t="n">
        <v>40</v>
      </c>
      <c r="B125" s="299" t="n">
        <v>46266</v>
      </c>
      <c r="C125" s="706" t="inlineStr">
        <is>
          <t>SKE</t>
        </is>
      </c>
      <c r="D125" s="303" t="n"/>
      <c r="E125" s="1031" t="inlineStr">
        <is>
          <t>Master Box Universal &gt; 300 mm 5 PLY (OVERLAP TYPE BOX) 890 GSM</t>
        </is>
      </c>
      <c r="F125" s="303" t="inlineStr">
        <is>
          <t>B</t>
        </is>
      </c>
      <c r="G125" s="706" t="n">
        <v>0</v>
      </c>
      <c r="H125" s="706" t="inlineStr">
        <is>
          <t>5 Ply</t>
        </is>
      </c>
      <c r="I125" s="1030" t="inlineStr">
        <is>
          <t>KM</t>
        </is>
      </c>
      <c r="J125" s="706" t="inlineStr">
        <is>
          <t>&gt; 300 mm</t>
        </is>
      </c>
      <c r="K125" s="706" t="inlineStr">
        <is>
          <t>U</t>
        </is>
      </c>
      <c r="L125" s="300" t="n">
        <v>100</v>
      </c>
      <c r="M125" s="300" t="n">
        <v>100</v>
      </c>
      <c r="N125" s="301" t="n">
        <v>100</v>
      </c>
      <c r="O125" s="16" t="inlineStr">
        <is>
          <t>Virgin Kraft</t>
        </is>
      </c>
      <c r="P125" s="17" t="n">
        <v>230</v>
      </c>
      <c r="Q125" s="17" t="n"/>
      <c r="R125" s="17" t="n"/>
      <c r="S125" s="455" t="n">
        <v>43</v>
      </c>
      <c r="T125" s="150">
        <f>(M125+M125+N125+10)/25.4</f>
        <v/>
      </c>
      <c r="U125" s="150">
        <f>((L125+M125+55)*2)/25.4</f>
        <v/>
      </c>
      <c r="V125" s="903">
        <f>((T126*U126*P125)/1550)/1000</f>
        <v/>
      </c>
      <c r="W125" s="903">
        <f>V125*S125</f>
        <v/>
      </c>
      <c r="X125" s="903">
        <f>(V125*3%)</f>
        <v/>
      </c>
      <c r="Y125" s="903">
        <f>X125*S125</f>
        <v/>
      </c>
      <c r="Z125" s="903">
        <f>W125+Y125</f>
        <v/>
      </c>
      <c r="AA125" s="903" t="n">
        <v>6.85</v>
      </c>
      <c r="AB125" s="903">
        <f>(V125+X125)*AA125</f>
        <v/>
      </c>
      <c r="AC125" s="650">
        <f>0.5/3</f>
        <v/>
      </c>
      <c r="AD125" s="650" t="n">
        <v>0</v>
      </c>
      <c r="AE125" s="650" t="n">
        <v>0</v>
      </c>
      <c r="AF125" s="650">
        <f>AB125+AC125+AD125+AE125</f>
        <v/>
      </c>
      <c r="AG125" s="650">
        <f>0.1/3</f>
        <v/>
      </c>
      <c r="AH125" s="650">
        <f>(Z125+AF125+AG125)*10%</f>
        <v/>
      </c>
      <c r="AI125" s="650" t="n">
        <v>0</v>
      </c>
      <c r="AJ125" s="864">
        <f>Z125+AF125+AG125+AH125-AI125</f>
        <v/>
      </c>
      <c r="AK125" s="505">
        <f>AJ125+AJ126+AJ127</f>
        <v/>
      </c>
    </row>
    <row r="126">
      <c r="A126" s="706" t="n">
        <v>40</v>
      </c>
      <c r="B126" s="299" t="n">
        <v>46266</v>
      </c>
      <c r="C126" s="706" t="inlineStr">
        <is>
          <t>SKE</t>
        </is>
      </c>
      <c r="D126" s="303" t="n"/>
      <c r="E126" s="1031" t="inlineStr">
        <is>
          <t>Master Box Universal &gt; 300 mm 5 PLY (OVERLAP TYPE BOX) 890 GSM</t>
        </is>
      </c>
      <c r="F126" s="303" t="inlineStr">
        <is>
          <t>B</t>
        </is>
      </c>
      <c r="G126" s="706" t="n">
        <v>0</v>
      </c>
      <c r="H126" s="706" t="inlineStr">
        <is>
          <t>5 Ply</t>
        </is>
      </c>
      <c r="I126" s="1030" t="inlineStr">
        <is>
          <t>KM</t>
        </is>
      </c>
      <c r="J126" s="706" t="inlineStr">
        <is>
          <t>&gt; 300 mm</t>
        </is>
      </c>
      <c r="K126" s="706" t="inlineStr">
        <is>
          <t>U</t>
        </is>
      </c>
      <c r="L126" s="300" t="n"/>
      <c r="M126" s="300" t="n"/>
      <c r="N126" s="301" t="n"/>
      <c r="O126" s="16" t="inlineStr">
        <is>
          <t>Semi Kraft</t>
        </is>
      </c>
      <c r="P126" s="17" t="n">
        <v>150</v>
      </c>
      <c r="Q126" s="17" t="n"/>
      <c r="R126" s="17" t="n"/>
      <c r="S126" s="455" t="n">
        <v>41</v>
      </c>
      <c r="T126" s="61">
        <f>ROUNDUP($T125,0)+0.2</f>
        <v/>
      </c>
      <c r="U126" s="61">
        <f>ROUNDUP($U125,0)+0.3</f>
        <v/>
      </c>
      <c r="V126" s="903">
        <f>((T126*U126*P126*1.45)*2/1550)/1000</f>
        <v/>
      </c>
      <c r="W126" s="903">
        <f>V126*S126</f>
        <v/>
      </c>
      <c r="X126" s="903">
        <f>(V126*3%)</f>
        <v/>
      </c>
      <c r="Y126" s="903">
        <f>X126*S126</f>
        <v/>
      </c>
      <c r="Z126" s="903">
        <f>W126+Y126</f>
        <v/>
      </c>
      <c r="AA126" s="903" t="n">
        <v>6.85</v>
      </c>
      <c r="AB126" s="903">
        <f>(V126+X126)*AA126</f>
        <v/>
      </c>
      <c r="AC126" s="650">
        <f>0.5/3</f>
        <v/>
      </c>
      <c r="AD126" s="650" t="n">
        <v>0</v>
      </c>
      <c r="AE126" s="650" t="n">
        <v>0</v>
      </c>
      <c r="AF126" s="650">
        <f>AB126+AC126+AD126+AE126</f>
        <v/>
      </c>
      <c r="AG126" s="650">
        <f>0.1/3</f>
        <v/>
      </c>
      <c r="AH126" s="650">
        <f>(Z126+AF126+AG126)*10%</f>
        <v/>
      </c>
      <c r="AI126" s="650" t="n">
        <v>0</v>
      </c>
      <c r="AJ126" s="864">
        <f>Z126+AF126+AG126+AH126-AI126</f>
        <v/>
      </c>
      <c r="AK126" s="505" t="inlineStr">
        <is>
          <t>ok</t>
        </is>
      </c>
    </row>
    <row r="127">
      <c r="A127" s="706" t="n">
        <v>40</v>
      </c>
      <c r="B127" s="299" t="n">
        <v>46266</v>
      </c>
      <c r="C127" s="706" t="inlineStr">
        <is>
          <t>SKE</t>
        </is>
      </c>
      <c r="D127" s="303" t="n"/>
      <c r="E127" s="1031" t="inlineStr">
        <is>
          <t>Master Box Universal &gt; 300 mm 5 PLY (OVERLAP TYPE BOX) 890 GSM</t>
        </is>
      </c>
      <c r="F127" s="303" t="inlineStr">
        <is>
          <t>B</t>
        </is>
      </c>
      <c r="G127" s="706" t="n">
        <v>0</v>
      </c>
      <c r="H127" s="706" t="inlineStr">
        <is>
          <t>5 Ply</t>
        </is>
      </c>
      <c r="I127" s="1030" t="inlineStr">
        <is>
          <t>KM</t>
        </is>
      </c>
      <c r="J127" s="706" t="inlineStr">
        <is>
          <t>&gt; 300 mm</t>
        </is>
      </c>
      <c r="K127" s="706" t="inlineStr">
        <is>
          <t>U</t>
        </is>
      </c>
      <c r="L127" s="300" t="n"/>
      <c r="M127" s="300" t="n"/>
      <c r="N127" s="301" t="n"/>
      <c r="O127" s="16" t="inlineStr">
        <is>
          <t>Virgin Kraft</t>
        </is>
      </c>
      <c r="P127" s="17" t="n">
        <v>180</v>
      </c>
      <c r="Q127" s="17" t="n"/>
      <c r="R127" s="17" t="n"/>
      <c r="S127" s="455" t="n">
        <v>43</v>
      </c>
      <c r="T127" s="61">
        <f>T126</f>
        <v/>
      </c>
      <c r="U127" s="61">
        <f>U126</f>
        <v/>
      </c>
      <c r="V127" s="903">
        <f>((T127*U127*P127)*2/1550)/1000</f>
        <v/>
      </c>
      <c r="W127" s="903">
        <f>V127*S127</f>
        <v/>
      </c>
      <c r="X127" s="903">
        <f>(V127*3%)</f>
        <v/>
      </c>
      <c r="Y127" s="903">
        <f>X127*S127</f>
        <v/>
      </c>
      <c r="Z127" s="903">
        <f>W127+Y127</f>
        <v/>
      </c>
      <c r="AA127" s="903" t="n">
        <v>6.85</v>
      </c>
      <c r="AB127" s="903">
        <f>(V127+X127)*AA127</f>
        <v/>
      </c>
      <c r="AC127" s="650">
        <f>0.5/3</f>
        <v/>
      </c>
      <c r="AD127" s="650" t="n">
        <v>0</v>
      </c>
      <c r="AE127" s="650" t="n">
        <v>0</v>
      </c>
      <c r="AF127" s="650">
        <f>AB127+AC127+AD127+AE127</f>
        <v/>
      </c>
      <c r="AG127" s="650">
        <f>0.1/3</f>
        <v/>
      </c>
      <c r="AH127" s="650">
        <f>(Z127+AF127+AG127)*10%</f>
        <v/>
      </c>
      <c r="AI127" s="650" t="n">
        <v>0</v>
      </c>
      <c r="AJ127" s="864">
        <f>Z127+AF127+AG127+AH127-AI127</f>
        <v/>
      </c>
      <c r="AK127" s="505" t="n"/>
    </row>
    <row r="128">
      <c r="A128" s="706" t="n">
        <v>41</v>
      </c>
      <c r="B128" s="299" t="n">
        <v>46266</v>
      </c>
      <c r="C128" s="706" t="inlineStr">
        <is>
          <t>SKE</t>
        </is>
      </c>
      <c r="D128" s="706" t="n"/>
      <c r="E128" s="1026" t="inlineStr">
        <is>
          <t>White Box Interlock - 3 Ply 510 GSM</t>
        </is>
      </c>
      <c r="F128" s="706" t="inlineStr">
        <is>
          <t>E</t>
        </is>
      </c>
      <c r="G128" s="706" t="n">
        <v>0</v>
      </c>
      <c r="H128" s="706" t="inlineStr">
        <is>
          <t>3 Ply</t>
        </is>
      </c>
      <c r="I128" s="706" t="inlineStr">
        <is>
          <t>KRTW</t>
        </is>
      </c>
      <c r="J128" s="706" t="n"/>
      <c r="K128" s="706" t="inlineStr">
        <is>
          <t>I</t>
        </is>
      </c>
      <c r="L128" s="300" t="n">
        <v>100</v>
      </c>
      <c r="M128" s="300" t="n">
        <v>100</v>
      </c>
      <c r="N128" s="301" t="n">
        <v>100</v>
      </c>
      <c r="O128" s="16" t="inlineStr">
        <is>
          <t>Duplex</t>
        </is>
      </c>
      <c r="P128" s="17" t="n">
        <v>230</v>
      </c>
      <c r="Q128" s="17" t="n"/>
      <c r="R128" s="17" t="n"/>
      <c r="S128" s="455" t="n">
        <v>62</v>
      </c>
      <c r="T128" s="150">
        <f>(2*L128+2*M128+55)/25.4</f>
        <v/>
      </c>
      <c r="U128" s="150">
        <f>(M128+N128+M128/2+35+55)/25.4</f>
        <v/>
      </c>
      <c r="V128" s="903">
        <f>$T129*$U129*P128/1550/1000</f>
        <v/>
      </c>
      <c r="W128" s="903">
        <f>S128*V128</f>
        <v/>
      </c>
      <c r="X128" s="903">
        <f>(V128*3%)</f>
        <v/>
      </c>
      <c r="Y128" s="903">
        <f>X128*S128</f>
        <v/>
      </c>
      <c r="Z128" s="903">
        <f>W128+Y128</f>
        <v/>
      </c>
      <c r="AA128" s="903" t="n">
        <v>7.5</v>
      </c>
      <c r="AB128" s="903">
        <f>(V128+X128)*AA128</f>
        <v/>
      </c>
      <c r="AC128" s="650" t="n">
        <v>0</v>
      </c>
      <c r="AD128" s="650" t="n">
        <v>0</v>
      </c>
      <c r="AE128" s="650">
        <f>(Z128+AB128+AC128+AD128)*2.5%</f>
        <v/>
      </c>
      <c r="AF128" s="650">
        <f>AB128+AC128+AD128+AE128</f>
        <v/>
      </c>
      <c r="AG128" s="650">
        <f>(Z128+AF128)*4%</f>
        <v/>
      </c>
      <c r="AH128" s="650">
        <f>(Z128+AF128)*10%</f>
        <v/>
      </c>
      <c r="AI128" s="650" t="n">
        <v>0</v>
      </c>
      <c r="AJ128" s="864">
        <f>Z128+AF128+AG128+AH128-AI128</f>
        <v/>
      </c>
      <c r="AK128" s="527">
        <f>AJ128+AJ129+AJ130</f>
        <v/>
      </c>
    </row>
    <row r="129">
      <c r="A129" s="706" t="n">
        <v>41</v>
      </c>
      <c r="B129" s="299" t="n">
        <v>46266</v>
      </c>
      <c r="C129" s="706" t="inlineStr">
        <is>
          <t>SKE</t>
        </is>
      </c>
      <c r="D129" s="706" t="n"/>
      <c r="E129" s="1026" t="inlineStr">
        <is>
          <t>White Box Interlock - 3 Ply 510 GSM</t>
        </is>
      </c>
      <c r="F129" s="706" t="inlineStr">
        <is>
          <t>E</t>
        </is>
      </c>
      <c r="G129" s="706" t="n">
        <v>0</v>
      </c>
      <c r="H129" s="706" t="inlineStr">
        <is>
          <t>3 Ply</t>
        </is>
      </c>
      <c r="I129" s="706" t="inlineStr">
        <is>
          <t>KRTW</t>
        </is>
      </c>
      <c r="J129" s="706" t="n"/>
      <c r="K129" s="706" t="inlineStr">
        <is>
          <t>I</t>
        </is>
      </c>
      <c r="L129" s="300" t="n"/>
      <c r="M129" s="300" t="n"/>
      <c r="N129" s="301" t="n"/>
      <c r="O129" s="16" t="inlineStr">
        <is>
          <t>Semi Kraft</t>
        </is>
      </c>
      <c r="P129" s="17" t="n">
        <v>140</v>
      </c>
      <c r="Q129" s="17" t="n"/>
      <c r="R129" s="17" t="n"/>
      <c r="S129" s="455" t="n">
        <v>41</v>
      </c>
      <c r="T129" s="542">
        <f>ROUNDUP(T128,0)</f>
        <v/>
      </c>
      <c r="U129" s="542">
        <f>U128</f>
        <v/>
      </c>
      <c r="V129" s="903">
        <f>$T129*$U129*P129*1.3/1550/1000</f>
        <v/>
      </c>
      <c r="W129" s="903">
        <f>S129*V129</f>
        <v/>
      </c>
      <c r="X129" s="903">
        <f>(V129*3%)</f>
        <v/>
      </c>
      <c r="Y129" s="903">
        <f>X129*S129</f>
        <v/>
      </c>
      <c r="Z129" s="903">
        <f>W129+Y129</f>
        <v/>
      </c>
      <c r="AA129" s="903" t="n">
        <v>7.5</v>
      </c>
      <c r="AB129" s="903">
        <f>(V129+X129)*AA129</f>
        <v/>
      </c>
      <c r="AC129" s="650" t="n">
        <v>0</v>
      </c>
      <c r="AD129" s="650" t="n">
        <v>0</v>
      </c>
      <c r="AE129" s="650">
        <f>(Z129+AB129+AC129+AD129)*2.5%</f>
        <v/>
      </c>
      <c r="AF129" s="650">
        <f>AB129+AC129+AD129+AE129</f>
        <v/>
      </c>
      <c r="AG129" s="650">
        <f>(Z129+AF129)*4%</f>
        <v/>
      </c>
      <c r="AH129" s="650">
        <f>(Z129+AF129)*10%</f>
        <v/>
      </c>
      <c r="AI129" s="650" t="n">
        <v>0</v>
      </c>
      <c r="AJ129" s="864">
        <f>Z129+AF129+AG129+AH129-AI129</f>
        <v/>
      </c>
      <c r="AK129" s="167" t="inlineStr">
        <is>
          <t>ok</t>
        </is>
      </c>
    </row>
    <row r="130">
      <c r="A130" s="706" t="n">
        <v>41</v>
      </c>
      <c r="B130" s="299" t="n">
        <v>46266</v>
      </c>
      <c r="C130" s="706" t="inlineStr">
        <is>
          <t>SKE</t>
        </is>
      </c>
      <c r="D130" s="706" t="n"/>
      <c r="E130" s="1026" t="inlineStr">
        <is>
          <t>White Box Interlock - 3 Ply 510 GSM</t>
        </is>
      </c>
      <c r="F130" s="706" t="inlineStr">
        <is>
          <t>E</t>
        </is>
      </c>
      <c r="G130" s="706" t="n">
        <v>0</v>
      </c>
      <c r="H130" s="706" t="inlineStr">
        <is>
          <t>3 Ply</t>
        </is>
      </c>
      <c r="I130" s="706" t="inlineStr">
        <is>
          <t>KRTW</t>
        </is>
      </c>
      <c r="J130" s="706" t="n"/>
      <c r="K130" s="706" t="inlineStr">
        <is>
          <t>I</t>
        </is>
      </c>
      <c r="L130" s="300" t="n"/>
      <c r="M130" s="300" t="n"/>
      <c r="N130" s="301" t="n"/>
      <c r="O130" s="16" t="inlineStr">
        <is>
          <t>Virgin Kraft</t>
        </is>
      </c>
      <c r="P130" s="17" t="n">
        <v>140</v>
      </c>
      <c r="Q130" s="17" t="n"/>
      <c r="R130" s="17" t="n"/>
      <c r="S130" s="455" t="n">
        <v>43.5</v>
      </c>
      <c r="T130" s="61">
        <f>T129</f>
        <v/>
      </c>
      <c r="U130" s="61">
        <f>U129</f>
        <v/>
      </c>
      <c r="V130" s="903">
        <f>$T130*$U130*P130/1550/1000</f>
        <v/>
      </c>
      <c r="W130" s="903">
        <f>S130*V130</f>
        <v/>
      </c>
      <c r="X130" s="903">
        <f>(V130*3%)</f>
        <v/>
      </c>
      <c r="Y130" s="903">
        <f>X130*S130</f>
        <v/>
      </c>
      <c r="Z130" s="903">
        <f>W130+Y130</f>
        <v/>
      </c>
      <c r="AA130" s="903" t="n">
        <v>7.5</v>
      </c>
      <c r="AB130" s="903">
        <f>(V130+X130)*AA130</f>
        <v/>
      </c>
      <c r="AC130" s="650" t="n">
        <v>0</v>
      </c>
      <c r="AD130" s="650" t="n">
        <v>0</v>
      </c>
      <c r="AE130" s="650">
        <f>(Z130+AB130+AC130+AD130)*2.5%</f>
        <v/>
      </c>
      <c r="AF130" s="650">
        <f>AB130+AC130+AD130+AE130</f>
        <v/>
      </c>
      <c r="AG130" s="650">
        <f>(Z130+AF130)*4%</f>
        <v/>
      </c>
      <c r="AH130" s="650">
        <f>(Z130+AF130)*10%</f>
        <v/>
      </c>
      <c r="AI130" s="650" t="n">
        <v>0</v>
      </c>
      <c r="AJ130" s="864">
        <f>Z130+AF130+AG130+AH130-AI130</f>
        <v/>
      </c>
      <c r="AK130" s="167" t="n"/>
    </row>
    <row r="131">
      <c r="A131" s="706" t="n">
        <v>42</v>
      </c>
      <c r="B131" s="299" t="n">
        <v>46266</v>
      </c>
      <c r="C131" s="706" t="inlineStr">
        <is>
          <t>SKE</t>
        </is>
      </c>
      <c r="D131" s="706" t="n"/>
      <c r="E131" s="1026" t="inlineStr">
        <is>
          <t>White Box Interlock - 3 Ply- BOPP Matt lamination 510 GSM</t>
        </is>
      </c>
      <c r="F131" s="706" t="inlineStr">
        <is>
          <t>E</t>
        </is>
      </c>
      <c r="G131" s="706" t="n">
        <v>0</v>
      </c>
      <c r="H131" s="706" t="inlineStr">
        <is>
          <t>3 Ply</t>
        </is>
      </c>
      <c r="I131" s="706" t="inlineStr">
        <is>
          <t>KRTW &amp; BOPP</t>
        </is>
      </c>
      <c r="J131" s="706" t="n"/>
      <c r="K131" s="706" t="inlineStr">
        <is>
          <t>I</t>
        </is>
      </c>
      <c r="L131" s="300" t="n">
        <v>100</v>
      </c>
      <c r="M131" s="300" t="n">
        <v>100</v>
      </c>
      <c r="N131" s="301" t="n">
        <v>100</v>
      </c>
      <c r="O131" s="16" t="inlineStr">
        <is>
          <t>Duplex</t>
        </is>
      </c>
      <c r="P131" s="17" t="n">
        <v>230</v>
      </c>
      <c r="Q131" s="17" t="n"/>
      <c r="R131" s="17" t="n"/>
      <c r="S131" s="455" t="n">
        <v>62</v>
      </c>
      <c r="T131" s="150">
        <f>(2*L131+2*M131+55)/25.4</f>
        <v/>
      </c>
      <c r="U131" s="150">
        <f>(M131+N131+M131/2+35+55)/25.4</f>
        <v/>
      </c>
      <c r="V131" s="903">
        <f>$T132*$U132*P131/1550/1000</f>
        <v/>
      </c>
      <c r="W131" s="903">
        <f>S131*V131</f>
        <v/>
      </c>
      <c r="X131" s="903">
        <f>(V131*3%)</f>
        <v/>
      </c>
      <c r="Y131" s="903">
        <f>X131*S131</f>
        <v/>
      </c>
      <c r="Z131" s="903">
        <f>W131+Y131</f>
        <v/>
      </c>
      <c r="AA131" s="903" t="n">
        <v>7.5</v>
      </c>
      <c r="AB131" s="903">
        <f>(V131+X131)*AA131</f>
        <v/>
      </c>
      <c r="AC131" s="650" t="n">
        <v>0</v>
      </c>
      <c r="AD131" s="650">
        <f>(T131*U131)/225/3</f>
        <v/>
      </c>
      <c r="AE131" s="650">
        <f>(Z131+AB131+AC131+AD131)*2.5%</f>
        <v/>
      </c>
      <c r="AF131" s="650">
        <f>AB131+AC131+AD131+AE131</f>
        <v/>
      </c>
      <c r="AG131" s="650">
        <f>(Z131+AB131+AC131+AD131+AE131)*4%</f>
        <v/>
      </c>
      <c r="AH131" s="650">
        <f>(Z131+AF131)*10%</f>
        <v/>
      </c>
      <c r="AI131" s="650" t="n">
        <v>0</v>
      </c>
      <c r="AJ131" s="864">
        <f>Z131+AF131+AG131+AH131-AI131</f>
        <v/>
      </c>
      <c r="AK131" s="527">
        <f>AJ131+AJ132+AJ133</f>
        <v/>
      </c>
    </row>
    <row r="132">
      <c r="A132" s="706" t="n">
        <v>42</v>
      </c>
      <c r="B132" s="299" t="n">
        <v>46266</v>
      </c>
      <c r="C132" s="706" t="inlineStr">
        <is>
          <t>SKE</t>
        </is>
      </c>
      <c r="D132" s="706" t="n"/>
      <c r="E132" s="1026" t="inlineStr">
        <is>
          <t>White Box Interlock - 3 Ply- BOPP Matt lamination 510 GSM</t>
        </is>
      </c>
      <c r="F132" s="706" t="inlineStr">
        <is>
          <t>E</t>
        </is>
      </c>
      <c r="G132" s="706" t="n">
        <v>0</v>
      </c>
      <c r="H132" s="706" t="inlineStr">
        <is>
          <t>3 Ply</t>
        </is>
      </c>
      <c r="I132" s="706" t="inlineStr">
        <is>
          <t>KRTW &amp; BOPP</t>
        </is>
      </c>
      <c r="J132" s="706" t="n"/>
      <c r="K132" s="706" t="inlineStr">
        <is>
          <t>I</t>
        </is>
      </c>
      <c r="L132" s="300" t="n"/>
      <c r="M132" s="300" t="n"/>
      <c r="N132" s="301" t="n"/>
      <c r="O132" s="16" t="inlineStr">
        <is>
          <t>Semi Kraft</t>
        </is>
      </c>
      <c r="P132" s="17" t="n">
        <v>140</v>
      </c>
      <c r="Q132" s="17" t="n"/>
      <c r="R132" s="17" t="n"/>
      <c r="S132" s="455" t="n">
        <v>41</v>
      </c>
      <c r="T132" s="542">
        <f>ROUNDUP(T131,0)</f>
        <v/>
      </c>
      <c r="U132" s="542">
        <f>U131</f>
        <v/>
      </c>
      <c r="V132" s="903">
        <f>$T132*$U132*P132*1.3/1550/1000</f>
        <v/>
      </c>
      <c r="W132" s="903">
        <f>S132*V132</f>
        <v/>
      </c>
      <c r="X132" s="903">
        <f>(V132*3%)</f>
        <v/>
      </c>
      <c r="Y132" s="903">
        <f>X132*S132</f>
        <v/>
      </c>
      <c r="Z132" s="903">
        <f>W132+Y132</f>
        <v/>
      </c>
      <c r="AA132" s="903" t="n">
        <v>7.5</v>
      </c>
      <c r="AB132" s="903">
        <f>(V132+X132)*AA132</f>
        <v/>
      </c>
      <c r="AC132" s="650" t="n">
        <v>0</v>
      </c>
      <c r="AD132" s="650">
        <f>(T132*U132)/225/3</f>
        <v/>
      </c>
      <c r="AE132" s="650">
        <f>(Z132+AB132+AC132+AD132)*2.5%</f>
        <v/>
      </c>
      <c r="AF132" s="650">
        <f>AB132+AC132+AD132+AE132</f>
        <v/>
      </c>
      <c r="AG132" s="650">
        <f>(Z132+AB132+AC132+AD132+AE132)*4%</f>
        <v/>
      </c>
      <c r="AH132" s="650">
        <f>(Z132+AF132)*10%</f>
        <v/>
      </c>
      <c r="AI132" s="650" t="n">
        <v>0</v>
      </c>
      <c r="AJ132" s="864">
        <f>Z132+AF132+AG132+AH132-AI132</f>
        <v/>
      </c>
      <c r="AK132" s="505" t="inlineStr">
        <is>
          <t>ok</t>
        </is>
      </c>
    </row>
    <row r="133">
      <c r="A133" s="706" t="n">
        <v>42</v>
      </c>
      <c r="B133" s="299" t="n">
        <v>46266</v>
      </c>
      <c r="C133" s="706" t="inlineStr">
        <is>
          <t>SKE</t>
        </is>
      </c>
      <c r="D133" s="706" t="n"/>
      <c r="E133" s="1026" t="inlineStr">
        <is>
          <t>White Box Interlock - 3 Ply- BOPP Matt lamination 510 GSM</t>
        </is>
      </c>
      <c r="F133" s="706" t="inlineStr">
        <is>
          <t>E</t>
        </is>
      </c>
      <c r="G133" s="706" t="n">
        <v>0</v>
      </c>
      <c r="H133" s="706" t="inlineStr">
        <is>
          <t>3 Ply</t>
        </is>
      </c>
      <c r="I133" s="706" t="inlineStr">
        <is>
          <t>KRTW &amp; BOPP</t>
        </is>
      </c>
      <c r="J133" s="706" t="n"/>
      <c r="K133" s="706" t="inlineStr">
        <is>
          <t>I</t>
        </is>
      </c>
      <c r="L133" s="300" t="n"/>
      <c r="M133" s="300" t="n"/>
      <c r="N133" s="301" t="n"/>
      <c r="O133" s="16" t="inlineStr">
        <is>
          <t>Virgin Kraft</t>
        </is>
      </c>
      <c r="P133" s="17" t="n">
        <v>140</v>
      </c>
      <c r="Q133" s="17" t="n"/>
      <c r="R133" s="17" t="n"/>
      <c r="S133" s="455" t="n">
        <v>43.5</v>
      </c>
      <c r="T133" s="61">
        <f>T132</f>
        <v/>
      </c>
      <c r="U133" s="61">
        <f>U132</f>
        <v/>
      </c>
      <c r="V133" s="903">
        <f>$T133*$U133*P133/1550/1000</f>
        <v/>
      </c>
      <c r="W133" s="903">
        <f>S133*V133</f>
        <v/>
      </c>
      <c r="X133" s="903">
        <f>(V133*3%)</f>
        <v/>
      </c>
      <c r="Y133" s="903">
        <f>X133*S133</f>
        <v/>
      </c>
      <c r="Z133" s="903">
        <f>W133+Y133</f>
        <v/>
      </c>
      <c r="AA133" s="903" t="n">
        <v>7.5</v>
      </c>
      <c r="AB133" s="903">
        <f>(V133+X133)*AA133</f>
        <v/>
      </c>
      <c r="AC133" s="650" t="n">
        <v>0</v>
      </c>
      <c r="AD133" s="650">
        <f>(T133*U133)/225/3</f>
        <v/>
      </c>
      <c r="AE133" s="650">
        <f>(Z133+AB133+AC133+AD133)*2.5%</f>
        <v/>
      </c>
      <c r="AF133" s="650">
        <f>AB133+AC133+AD133+AE133</f>
        <v/>
      </c>
      <c r="AG133" s="650">
        <f>(Z133+AB133+AC133+AD133+AE133)*4%</f>
        <v/>
      </c>
      <c r="AH133" s="650">
        <f>(Z133+AF133)*10%</f>
        <v/>
      </c>
      <c r="AI133" s="650" t="n">
        <v>0</v>
      </c>
      <c r="AJ133" s="864">
        <f>Z133+AF133+AG133+AH133-AI133</f>
        <v/>
      </c>
      <c r="AK133" s="505" t="n"/>
    </row>
    <row r="134">
      <c r="A134" s="706" t="n">
        <v>43</v>
      </c>
      <c r="B134" s="299" t="n">
        <v>46266</v>
      </c>
      <c r="C134" s="706" t="inlineStr">
        <is>
          <t>SKE</t>
        </is>
      </c>
      <c r="D134" s="706" t="n"/>
      <c r="E134" s="1026" t="inlineStr">
        <is>
          <t>White Box Interlock - 5 Ply 790 GSM</t>
        </is>
      </c>
      <c r="F134" s="706" t="inlineStr">
        <is>
          <t>E</t>
        </is>
      </c>
      <c r="G134" s="706" t="n">
        <v>0</v>
      </c>
      <c r="H134" s="706" t="inlineStr">
        <is>
          <t>5 Ply</t>
        </is>
      </c>
      <c r="I134" s="706" t="inlineStr">
        <is>
          <t>KRTW</t>
        </is>
      </c>
      <c r="J134" s="706" t="n"/>
      <c r="K134" s="706" t="inlineStr">
        <is>
          <t>I</t>
        </is>
      </c>
      <c r="L134" s="300" t="n">
        <v>100</v>
      </c>
      <c r="M134" s="300" t="n">
        <v>100</v>
      </c>
      <c r="N134" s="301" t="n">
        <v>100</v>
      </c>
      <c r="O134" s="16" t="inlineStr">
        <is>
          <t>Duplex</t>
        </is>
      </c>
      <c r="P134" s="17" t="n">
        <v>230</v>
      </c>
      <c r="Q134" s="17" t="n"/>
      <c r="R134" s="17" t="n"/>
      <c r="S134" s="455" t="n">
        <v>62</v>
      </c>
      <c r="T134" s="150">
        <f>(2*L134+2*M134+55)/25.4</f>
        <v/>
      </c>
      <c r="U134" s="150">
        <f>(M134+N134+M134/2+35+55)/25.4</f>
        <v/>
      </c>
      <c r="V134" s="903">
        <f>$T135*$U135*P134/1550/1000</f>
        <v/>
      </c>
      <c r="W134" s="903">
        <f>S134*V134</f>
        <v/>
      </c>
      <c r="X134" s="903">
        <f>(V134*3%)</f>
        <v/>
      </c>
      <c r="Y134" s="903">
        <f>X134*S134</f>
        <v/>
      </c>
      <c r="Z134" s="903">
        <f>W134+Y134</f>
        <v/>
      </c>
      <c r="AA134" s="903" t="n">
        <v>7.5</v>
      </c>
      <c r="AB134" s="903">
        <f>(V134+X134)*AA134</f>
        <v/>
      </c>
      <c r="AC134" s="650" t="n">
        <v>0</v>
      </c>
      <c r="AD134" s="650" t="n">
        <v>0</v>
      </c>
      <c r="AE134" s="650">
        <f>(Z134+AB134+AC134+AD134)*2.5%</f>
        <v/>
      </c>
      <c r="AF134" s="650">
        <f>AB134+AC134+AD134+AE134</f>
        <v/>
      </c>
      <c r="AG134" s="650">
        <f>(Z134+AB134+AC134+AD134+AE134)*4%</f>
        <v/>
      </c>
      <c r="AH134" s="650">
        <f>(Z134+AF134)*10%</f>
        <v/>
      </c>
      <c r="AI134" s="650" t="n">
        <v>0</v>
      </c>
      <c r="AJ134" s="864">
        <f>Z134+AF134+AG134+AH134-AI134</f>
        <v/>
      </c>
      <c r="AK134" s="527">
        <f>AJ134+AJ135+AJ136</f>
        <v/>
      </c>
    </row>
    <row r="135">
      <c r="A135" s="706" t="n">
        <v>43</v>
      </c>
      <c r="B135" s="299" t="n">
        <v>46266</v>
      </c>
      <c r="C135" s="706" t="inlineStr">
        <is>
          <t>SKE</t>
        </is>
      </c>
      <c r="D135" s="706" t="n"/>
      <c r="E135" s="1026" t="inlineStr">
        <is>
          <t>White Box Interlock - 5 Ply 790 GSM</t>
        </is>
      </c>
      <c r="F135" s="706" t="inlineStr">
        <is>
          <t>E</t>
        </is>
      </c>
      <c r="G135" s="706" t="n">
        <v>0</v>
      </c>
      <c r="H135" s="706" t="inlineStr">
        <is>
          <t>5 Ply</t>
        </is>
      </c>
      <c r="I135" s="706" t="inlineStr">
        <is>
          <t>KRTW</t>
        </is>
      </c>
      <c r="J135" s="706" t="n"/>
      <c r="K135" s="706" t="inlineStr">
        <is>
          <t>I</t>
        </is>
      </c>
      <c r="L135" s="300" t="n"/>
      <c r="M135" s="300" t="n"/>
      <c r="N135" s="301" t="n"/>
      <c r="O135" s="16" t="inlineStr">
        <is>
          <t>Semi Kraft</t>
        </is>
      </c>
      <c r="P135" s="17" t="n">
        <v>140</v>
      </c>
      <c r="Q135" s="17" t="n"/>
      <c r="R135" s="17" t="n"/>
      <c r="S135" s="455" t="n">
        <v>41</v>
      </c>
      <c r="T135" s="542">
        <f>ROUNDUP(T134,0)</f>
        <v/>
      </c>
      <c r="U135" s="542">
        <f>U134</f>
        <v/>
      </c>
      <c r="V135" s="903">
        <f>$T135*$U135*P135*1.3*2/1550/1000</f>
        <v/>
      </c>
      <c r="W135" s="903">
        <f>S135*V135</f>
        <v/>
      </c>
      <c r="X135" s="903">
        <f>(V135*3%)</f>
        <v/>
      </c>
      <c r="Y135" s="903">
        <f>X135*S135</f>
        <v/>
      </c>
      <c r="Z135" s="903">
        <f>W135+Y135</f>
        <v/>
      </c>
      <c r="AA135" s="903" t="n">
        <v>7.5</v>
      </c>
      <c r="AB135" s="903">
        <f>(V135+X135)*AA135</f>
        <v/>
      </c>
      <c r="AC135" s="650" t="n">
        <v>0</v>
      </c>
      <c r="AD135" s="650" t="n">
        <v>0</v>
      </c>
      <c r="AE135" s="650">
        <f>(Z135+AB135+AC135+AD135)*2.5%</f>
        <v/>
      </c>
      <c r="AF135" s="650">
        <f>AB135+AC135+AD135+AE135</f>
        <v/>
      </c>
      <c r="AG135" s="650">
        <f>(Z135+AB135+AC135+AD135+AE135)*4%</f>
        <v/>
      </c>
      <c r="AH135" s="650">
        <f>(Z135+AF135)*10%</f>
        <v/>
      </c>
      <c r="AI135" s="650" t="n">
        <v>0</v>
      </c>
      <c r="AJ135" s="864">
        <f>Z135+AF135+AG135+AH135-AI135</f>
        <v/>
      </c>
      <c r="AK135" s="505" t="inlineStr">
        <is>
          <t>ok</t>
        </is>
      </c>
    </row>
    <row r="136">
      <c r="A136" s="706" t="n">
        <v>43</v>
      </c>
      <c r="B136" s="299" t="n">
        <v>46266</v>
      </c>
      <c r="C136" s="706" t="inlineStr">
        <is>
          <t>SKE</t>
        </is>
      </c>
      <c r="D136" s="706" t="n"/>
      <c r="E136" s="1026" t="inlineStr">
        <is>
          <t>White Box Interlock - 5 Ply 790 GSM</t>
        </is>
      </c>
      <c r="F136" s="706" t="inlineStr">
        <is>
          <t>E</t>
        </is>
      </c>
      <c r="G136" s="706" t="n">
        <v>0</v>
      </c>
      <c r="H136" s="706" t="inlineStr">
        <is>
          <t>5 Ply</t>
        </is>
      </c>
      <c r="I136" s="706" t="inlineStr">
        <is>
          <t>KRTW</t>
        </is>
      </c>
      <c r="J136" s="706" t="n"/>
      <c r="K136" s="706" t="inlineStr">
        <is>
          <t>I</t>
        </is>
      </c>
      <c r="L136" s="300" t="n"/>
      <c r="M136" s="300" t="n"/>
      <c r="N136" s="301" t="n"/>
      <c r="O136" s="16" t="inlineStr">
        <is>
          <t>Virgin Kraft</t>
        </is>
      </c>
      <c r="P136" s="17" t="n">
        <v>140</v>
      </c>
      <c r="Q136" s="17" t="n"/>
      <c r="R136" s="17" t="n"/>
      <c r="S136" s="455" t="n">
        <v>43.5</v>
      </c>
      <c r="T136" s="61">
        <f>T135</f>
        <v/>
      </c>
      <c r="U136" s="61">
        <f>U135</f>
        <v/>
      </c>
      <c r="V136" s="903">
        <f>$T136*$U136*P136*2/1550/1000</f>
        <v/>
      </c>
      <c r="W136" s="903">
        <f>S136*V136</f>
        <v/>
      </c>
      <c r="X136" s="903">
        <f>(V136*3%)</f>
        <v/>
      </c>
      <c r="Y136" s="903">
        <f>X136*S136</f>
        <v/>
      </c>
      <c r="Z136" s="903">
        <f>W136+Y136</f>
        <v/>
      </c>
      <c r="AA136" s="903" t="n">
        <v>7.5</v>
      </c>
      <c r="AB136" s="903">
        <f>(V136+X136)*AA136</f>
        <v/>
      </c>
      <c r="AC136" s="650" t="n">
        <v>0</v>
      </c>
      <c r="AD136" s="650" t="n">
        <v>0</v>
      </c>
      <c r="AE136" s="650">
        <f>(Z136+AB136+AC136+AD136)*2.5%</f>
        <v/>
      </c>
      <c r="AF136" s="650">
        <f>AB136+AC136+AD136+AE136</f>
        <v/>
      </c>
      <c r="AG136" s="650">
        <f>(Z136+AB136+AC136+AD136+AE136)*4%</f>
        <v/>
      </c>
      <c r="AH136" s="650">
        <f>(Z136+AF136)*10%</f>
        <v/>
      </c>
      <c r="AI136" s="650" t="n">
        <v>0</v>
      </c>
      <c r="AJ136" s="864">
        <f>Z136+AF136+AG136+AH136-AI136</f>
        <v/>
      </c>
      <c r="AK136" s="505" t="n"/>
    </row>
    <row r="137">
      <c r="A137" s="706" t="n">
        <v>44</v>
      </c>
      <c r="B137" s="299" t="n">
        <v>46266</v>
      </c>
      <c r="C137" s="706" t="inlineStr">
        <is>
          <t>SKE</t>
        </is>
      </c>
      <c r="D137" s="706" t="n"/>
      <c r="E137" s="1026" t="inlineStr">
        <is>
          <t>White Box Interlock - 5 Ply- BOPP Matt lamination 790 GSM</t>
        </is>
      </c>
      <c r="F137" s="706" t="inlineStr">
        <is>
          <t>E</t>
        </is>
      </c>
      <c r="G137" s="706" t="n">
        <v>0</v>
      </c>
      <c r="H137" s="706" t="inlineStr">
        <is>
          <t>5 Ply</t>
        </is>
      </c>
      <c r="I137" s="706" t="inlineStr">
        <is>
          <t>KRTW &amp; BOPP</t>
        </is>
      </c>
      <c r="J137" s="706" t="n"/>
      <c r="K137" s="706" t="inlineStr">
        <is>
          <t>I</t>
        </is>
      </c>
      <c r="L137" s="300" t="n">
        <v>100</v>
      </c>
      <c r="M137" s="300" t="n">
        <v>100</v>
      </c>
      <c r="N137" s="301" t="n">
        <v>100</v>
      </c>
      <c r="O137" s="16" t="inlineStr">
        <is>
          <t>Duplex</t>
        </is>
      </c>
      <c r="P137" s="17" t="n">
        <v>230</v>
      </c>
      <c r="Q137" s="17" t="n"/>
      <c r="R137" s="17" t="n"/>
      <c r="S137" s="455" t="n">
        <v>62</v>
      </c>
      <c r="T137" s="150">
        <f>(2*L137+2*M137+55)/25.4</f>
        <v/>
      </c>
      <c r="U137" s="150">
        <f>(M137+N137+M137/2+35+55)/25.4</f>
        <v/>
      </c>
      <c r="V137" s="903">
        <f>$T138*$U138*P137/1550/1000</f>
        <v/>
      </c>
      <c r="W137" s="903">
        <f>S137*V137</f>
        <v/>
      </c>
      <c r="X137" s="903">
        <f>(V137*3%)</f>
        <v/>
      </c>
      <c r="Y137" s="903">
        <f>X137*S137</f>
        <v/>
      </c>
      <c r="Z137" s="903">
        <f>W137+Y137</f>
        <v/>
      </c>
      <c r="AA137" s="903" t="n">
        <v>7.5</v>
      </c>
      <c r="AB137" s="903">
        <f>(V137+X137)*AA137</f>
        <v/>
      </c>
      <c r="AC137" s="650" t="n">
        <v>0</v>
      </c>
      <c r="AD137" s="650">
        <f>(T137*U137)/225/3</f>
        <v/>
      </c>
      <c r="AE137" s="650">
        <f>(Z137+AB137+AC137+AD137)*2.5%</f>
        <v/>
      </c>
      <c r="AF137" s="650">
        <f>AB137+AC137+AD137+AE137</f>
        <v/>
      </c>
      <c r="AG137" s="650">
        <f>(Z137+AB137+AC137+AD137+AE137)*4%</f>
        <v/>
      </c>
      <c r="AH137" s="650">
        <f>(Z137+AF137)*10%</f>
        <v/>
      </c>
      <c r="AI137" s="650" t="n">
        <v>0</v>
      </c>
      <c r="AJ137" s="864">
        <f>Z137+AF137+AG137+AH137-AI137</f>
        <v/>
      </c>
      <c r="AK137" s="527">
        <f>AJ137+AJ138+AJ139</f>
        <v/>
      </c>
    </row>
    <row r="138">
      <c r="A138" s="706" t="n">
        <v>44</v>
      </c>
      <c r="B138" s="299" t="n">
        <v>46266</v>
      </c>
      <c r="C138" s="706" t="inlineStr">
        <is>
          <t>SKE</t>
        </is>
      </c>
      <c r="D138" s="706" t="n"/>
      <c r="E138" s="1026" t="inlineStr">
        <is>
          <t>White Box Interlock - 5 Ply- BOPP Matt lamination 790 GSM</t>
        </is>
      </c>
      <c r="F138" s="706" t="inlineStr">
        <is>
          <t>E</t>
        </is>
      </c>
      <c r="G138" s="706" t="n">
        <v>0</v>
      </c>
      <c r="H138" s="706" t="inlineStr">
        <is>
          <t>5 Ply</t>
        </is>
      </c>
      <c r="I138" s="706" t="inlineStr">
        <is>
          <t>KRTW &amp; BOPP</t>
        </is>
      </c>
      <c r="J138" s="706" t="n"/>
      <c r="K138" s="706" t="inlineStr">
        <is>
          <t>I</t>
        </is>
      </c>
      <c r="L138" s="300" t="n"/>
      <c r="M138" s="300" t="n"/>
      <c r="N138" s="301" t="n"/>
      <c r="O138" s="16" t="inlineStr">
        <is>
          <t>Semi Kraft</t>
        </is>
      </c>
      <c r="P138" s="17" t="n">
        <v>140</v>
      </c>
      <c r="Q138" s="17" t="n"/>
      <c r="R138" s="17" t="n"/>
      <c r="S138" s="455" t="n">
        <v>41</v>
      </c>
      <c r="T138" s="542">
        <f>ROUNDUP(T137,0)</f>
        <v/>
      </c>
      <c r="U138" s="542">
        <f>U137</f>
        <v/>
      </c>
      <c r="V138" s="903">
        <f>$T138*$U138*P138*1.3*2/1550/1000</f>
        <v/>
      </c>
      <c r="W138" s="903">
        <f>S138*V138</f>
        <v/>
      </c>
      <c r="X138" s="903">
        <f>(V138*3%)</f>
        <v/>
      </c>
      <c r="Y138" s="903">
        <f>X138*S138</f>
        <v/>
      </c>
      <c r="Z138" s="903">
        <f>W138+Y138</f>
        <v/>
      </c>
      <c r="AA138" s="903" t="n">
        <v>7.5</v>
      </c>
      <c r="AB138" s="903">
        <f>(V138+X138)*AA138</f>
        <v/>
      </c>
      <c r="AC138" s="650" t="n">
        <v>0</v>
      </c>
      <c r="AD138" s="650">
        <f>(T138*U138)/225/3</f>
        <v/>
      </c>
      <c r="AE138" s="650">
        <f>(Z138+AB138+AC138+AD138)*2.5%</f>
        <v/>
      </c>
      <c r="AF138" s="650">
        <f>AB138+AC138+AD138+AE138</f>
        <v/>
      </c>
      <c r="AG138" s="650">
        <f>(Z138+AB138+AC138+AD138+AE138)*4%</f>
        <v/>
      </c>
      <c r="AH138" s="650">
        <f>(Z138+AF138)*10%</f>
        <v/>
      </c>
      <c r="AI138" s="650" t="n">
        <v>0</v>
      </c>
      <c r="AJ138" s="864">
        <f>Z138+AF138+AG138+AH138-AI138</f>
        <v/>
      </c>
      <c r="AK138" s="505" t="inlineStr">
        <is>
          <t>ok</t>
        </is>
      </c>
    </row>
    <row r="139">
      <c r="A139" s="706" t="n">
        <v>44</v>
      </c>
      <c r="B139" s="299" t="n">
        <v>46266</v>
      </c>
      <c r="C139" s="706" t="inlineStr">
        <is>
          <t>SKE</t>
        </is>
      </c>
      <c r="D139" s="706" t="n"/>
      <c r="E139" s="1026" t="inlineStr">
        <is>
          <t>White Box Interlock - 5 Ply- BOPP Matt lamination 790 GSM</t>
        </is>
      </c>
      <c r="F139" s="706" t="inlineStr">
        <is>
          <t>E</t>
        </is>
      </c>
      <c r="G139" s="706" t="n">
        <v>0</v>
      </c>
      <c r="H139" s="706" t="inlineStr">
        <is>
          <t>5 Ply</t>
        </is>
      </c>
      <c r="I139" s="706" t="inlineStr">
        <is>
          <t>KRTW &amp; BOPP</t>
        </is>
      </c>
      <c r="J139" s="706" t="n"/>
      <c r="K139" s="706" t="inlineStr">
        <is>
          <t>I</t>
        </is>
      </c>
      <c r="L139" s="300" t="n"/>
      <c r="M139" s="300" t="n"/>
      <c r="N139" s="301" t="n"/>
      <c r="O139" s="16" t="inlineStr">
        <is>
          <t>Virgin Kraft</t>
        </is>
      </c>
      <c r="P139" s="17" t="n">
        <v>140</v>
      </c>
      <c r="Q139" s="17" t="n"/>
      <c r="R139" s="17" t="n"/>
      <c r="S139" s="455" t="n">
        <v>43.5</v>
      </c>
      <c r="T139" s="61">
        <f>T138</f>
        <v/>
      </c>
      <c r="U139" s="61">
        <f>U138</f>
        <v/>
      </c>
      <c r="V139" s="903">
        <f>$T139*$U139*P139*2/1550/1000</f>
        <v/>
      </c>
      <c r="W139" s="903">
        <f>S139*V139</f>
        <v/>
      </c>
      <c r="X139" s="903">
        <f>(V139*3%)</f>
        <v/>
      </c>
      <c r="Y139" s="903">
        <f>X139*S139</f>
        <v/>
      </c>
      <c r="Z139" s="903">
        <f>W139+Y139</f>
        <v/>
      </c>
      <c r="AA139" s="903" t="n">
        <v>7.5</v>
      </c>
      <c r="AB139" s="903">
        <f>(V139+X139)*AA139</f>
        <v/>
      </c>
      <c r="AC139" s="650" t="n">
        <v>0</v>
      </c>
      <c r="AD139" s="650">
        <f>(T139*U139)/225/3</f>
        <v/>
      </c>
      <c r="AE139" s="650">
        <f>(Z139+AB139+AC139+AD139)*2.5%</f>
        <v/>
      </c>
      <c r="AF139" s="650">
        <f>AB139+AC139+AD139+AE139</f>
        <v/>
      </c>
      <c r="AG139" s="650">
        <f>(Z139+AB139+AC139+AD139+AE139)*4%</f>
        <v/>
      </c>
      <c r="AH139" s="650">
        <f>(Z139+AF139)*10%</f>
        <v/>
      </c>
      <c r="AI139" s="650" t="n">
        <v>0</v>
      </c>
      <c r="AJ139" s="864">
        <f>Z139+AF139+AG139+AH139-AI139</f>
        <v/>
      </c>
      <c r="AK139" s="505" t="n"/>
    </row>
    <row r="140">
      <c r="A140" s="706" t="n">
        <v>45</v>
      </c>
      <c r="B140" s="299" t="n">
        <v>46266</v>
      </c>
      <c r="C140" s="706" t="inlineStr">
        <is>
          <t>SKE</t>
        </is>
      </c>
      <c r="D140" s="706" t="n"/>
      <c r="E140" s="1026" t="inlineStr">
        <is>
          <t>White Box Universal - 3 Ply 510 GSM</t>
        </is>
      </c>
      <c r="F140" s="706" t="inlineStr">
        <is>
          <t>E</t>
        </is>
      </c>
      <c r="G140" s="706" t="n">
        <v>0</v>
      </c>
      <c r="H140" s="706" t="inlineStr">
        <is>
          <t>3 Ply</t>
        </is>
      </c>
      <c r="I140" s="706" t="inlineStr">
        <is>
          <t>KRTW</t>
        </is>
      </c>
      <c r="J140" s="706" t="n"/>
      <c r="K140" s="706" t="inlineStr">
        <is>
          <t>U</t>
        </is>
      </c>
      <c r="L140" s="300" t="n">
        <v>100</v>
      </c>
      <c r="M140" s="300" t="n">
        <v>100</v>
      </c>
      <c r="N140" s="301" t="n">
        <v>100</v>
      </c>
      <c r="O140" s="16" t="inlineStr">
        <is>
          <t>Duplex</t>
        </is>
      </c>
      <c r="P140" s="17" t="n">
        <v>230</v>
      </c>
      <c r="Q140" s="17" t="n"/>
      <c r="R140" s="17" t="n"/>
      <c r="S140" s="455" t="n">
        <v>62</v>
      </c>
      <c r="T140" s="150">
        <f>(2*L140+2*M140+55)/25.4</f>
        <v/>
      </c>
      <c r="U140" s="150">
        <f>(M140+N140+25)/25.4</f>
        <v/>
      </c>
      <c r="V140" s="903">
        <f>$T141*$U141*P140/1550/1000</f>
        <v/>
      </c>
      <c r="W140" s="903">
        <f>S140*V140</f>
        <v/>
      </c>
      <c r="X140" s="903">
        <f>(V140*3%)</f>
        <v/>
      </c>
      <c r="Y140" s="903">
        <f>X140*S140</f>
        <v/>
      </c>
      <c r="Z140" s="903">
        <f>W140+Y140</f>
        <v/>
      </c>
      <c r="AA140" s="903" t="n">
        <v>7.5</v>
      </c>
      <c r="AB140" s="903">
        <f>(V140+X140)*AA140</f>
        <v/>
      </c>
      <c r="AC140" s="650" t="n">
        <v>0</v>
      </c>
      <c r="AD140" s="650" t="n">
        <v>0</v>
      </c>
      <c r="AE140" s="650">
        <f>(Z140+AB140+AC140+AD140)*2.5%</f>
        <v/>
      </c>
      <c r="AF140" s="650">
        <f>AB140+AC140+AD140+AE140</f>
        <v/>
      </c>
      <c r="AG140" s="650">
        <f>(Z140+AB140+AC140+AD140+AE140)*4%</f>
        <v/>
      </c>
      <c r="AH140" s="650">
        <f>(Z140+AF140)*10%</f>
        <v/>
      </c>
      <c r="AI140" s="650" t="n">
        <v>0</v>
      </c>
      <c r="AJ140" s="864">
        <f>Z140+AF140+AG140+AH140-AI140</f>
        <v/>
      </c>
      <c r="AK140" s="527">
        <f>AJ140+AJ141+AJ142</f>
        <v/>
      </c>
    </row>
    <row r="141">
      <c r="A141" s="706" t="n">
        <v>45</v>
      </c>
      <c r="B141" s="299" t="n">
        <v>46266</v>
      </c>
      <c r="C141" s="706" t="inlineStr">
        <is>
          <t>SKE</t>
        </is>
      </c>
      <c r="D141" s="706" t="n"/>
      <c r="E141" s="1026" t="inlineStr">
        <is>
          <t>White Box Universal - 3 Ply 510 GSM</t>
        </is>
      </c>
      <c r="F141" s="706" t="inlineStr">
        <is>
          <t>E</t>
        </is>
      </c>
      <c r="G141" s="706" t="n">
        <v>0</v>
      </c>
      <c r="H141" s="706" t="inlineStr">
        <is>
          <t>3 Ply</t>
        </is>
      </c>
      <c r="I141" s="706" t="inlineStr">
        <is>
          <t>KRTW</t>
        </is>
      </c>
      <c r="J141" s="706" t="n"/>
      <c r="K141" s="706" t="inlineStr">
        <is>
          <t>U</t>
        </is>
      </c>
      <c r="L141" s="300" t="n"/>
      <c r="M141" s="300" t="n"/>
      <c r="N141" s="301" t="n"/>
      <c r="O141" s="16" t="inlineStr">
        <is>
          <t>Semi Kraft</t>
        </is>
      </c>
      <c r="P141" s="17" t="n">
        <v>140</v>
      </c>
      <c r="Q141" s="17" t="n"/>
      <c r="R141" s="17" t="n"/>
      <c r="S141" s="455" t="n">
        <v>41</v>
      </c>
      <c r="T141" s="542">
        <f>ROUNDUP(T140,0)</f>
        <v/>
      </c>
      <c r="U141" s="542">
        <f>U140</f>
        <v/>
      </c>
      <c r="V141" s="903">
        <f>$T141*$U141*P141*1.3/1550/1000</f>
        <v/>
      </c>
      <c r="W141" s="903">
        <f>S141*V141</f>
        <v/>
      </c>
      <c r="X141" s="903">
        <f>(V141*3%)</f>
        <v/>
      </c>
      <c r="Y141" s="903">
        <f>X141*S141</f>
        <v/>
      </c>
      <c r="Z141" s="903">
        <f>W141+Y141</f>
        <v/>
      </c>
      <c r="AA141" s="903" t="n">
        <v>7.5</v>
      </c>
      <c r="AB141" s="903">
        <f>(V141+X141)*AA141</f>
        <v/>
      </c>
      <c r="AC141" s="650" t="n">
        <v>0</v>
      </c>
      <c r="AD141" s="650" t="n">
        <v>0</v>
      </c>
      <c r="AE141" s="650">
        <f>(Z141+AB141+AC141+AD141)*2.5%</f>
        <v/>
      </c>
      <c r="AF141" s="650">
        <f>AB141+AC141+AD141+AE141</f>
        <v/>
      </c>
      <c r="AG141" s="650">
        <f>(Z141+AB141+AC141+AD141+AE141)*4%</f>
        <v/>
      </c>
      <c r="AH141" s="650">
        <f>(Z141+AF141)*10%</f>
        <v/>
      </c>
      <c r="AI141" s="650" t="n">
        <v>0</v>
      </c>
      <c r="AJ141" s="864">
        <f>Z141+AF141+AG141+AH141-AI141</f>
        <v/>
      </c>
      <c r="AK141" s="505" t="inlineStr">
        <is>
          <t>ok</t>
        </is>
      </c>
    </row>
    <row r="142">
      <c r="A142" s="706" t="n">
        <v>45</v>
      </c>
      <c r="B142" s="299" t="n">
        <v>46266</v>
      </c>
      <c r="C142" s="706" t="inlineStr">
        <is>
          <t>SKE</t>
        </is>
      </c>
      <c r="D142" s="706" t="n"/>
      <c r="E142" s="1026" t="inlineStr">
        <is>
          <t>White Box Universal - 3 Ply 510 GSM</t>
        </is>
      </c>
      <c r="F142" s="706" t="inlineStr">
        <is>
          <t>E</t>
        </is>
      </c>
      <c r="G142" s="706" t="n">
        <v>0</v>
      </c>
      <c r="H142" s="706" t="inlineStr">
        <is>
          <t>3 Ply</t>
        </is>
      </c>
      <c r="I142" s="706" t="inlineStr">
        <is>
          <t>KRTW</t>
        </is>
      </c>
      <c r="J142" s="706" t="n"/>
      <c r="K142" s="706" t="inlineStr">
        <is>
          <t>U</t>
        </is>
      </c>
      <c r="L142" s="300" t="n"/>
      <c r="M142" s="300" t="n"/>
      <c r="N142" s="301" t="n"/>
      <c r="O142" s="16" t="inlineStr">
        <is>
          <t>Virgin Kraft</t>
        </is>
      </c>
      <c r="P142" s="17" t="n">
        <v>140</v>
      </c>
      <c r="Q142" s="17" t="n"/>
      <c r="R142" s="17" t="n"/>
      <c r="S142" s="455" t="n">
        <v>43.5</v>
      </c>
      <c r="T142" s="61">
        <f>T141</f>
        <v/>
      </c>
      <c r="U142" s="61">
        <f>U141</f>
        <v/>
      </c>
      <c r="V142" s="903">
        <f>$T142*$U142*P142/1550/1000</f>
        <v/>
      </c>
      <c r="W142" s="903">
        <f>S142*V142</f>
        <v/>
      </c>
      <c r="X142" s="903">
        <f>(V142*3%)</f>
        <v/>
      </c>
      <c r="Y142" s="903">
        <f>X142*S142</f>
        <v/>
      </c>
      <c r="Z142" s="903">
        <f>W142+Y142</f>
        <v/>
      </c>
      <c r="AA142" s="903" t="n">
        <v>7.5</v>
      </c>
      <c r="AB142" s="903">
        <f>(V142+X142)*AA142</f>
        <v/>
      </c>
      <c r="AC142" s="650" t="n">
        <v>0</v>
      </c>
      <c r="AD142" s="650" t="n">
        <v>0</v>
      </c>
      <c r="AE142" s="650">
        <f>(Z142+AB142+AC142+AD142)*2.5%</f>
        <v/>
      </c>
      <c r="AF142" s="650">
        <f>AB142+AC142+AD142+AE142</f>
        <v/>
      </c>
      <c r="AG142" s="650">
        <f>(Z142+AB142+AC142+AD142+AE142)*4%</f>
        <v/>
      </c>
      <c r="AH142" s="650">
        <f>(Z142+AF142)*10%</f>
        <v/>
      </c>
      <c r="AI142" s="650" t="n">
        <v>0</v>
      </c>
      <c r="AJ142" s="864">
        <f>Z142+AF142+AG142+AH142-AI142</f>
        <v/>
      </c>
      <c r="AK142" s="505" t="n"/>
    </row>
    <row r="143">
      <c r="A143" s="706" t="n">
        <v>46</v>
      </c>
      <c r="B143" s="299" t="n">
        <v>46266</v>
      </c>
      <c r="C143" s="706" t="inlineStr">
        <is>
          <t>SKE</t>
        </is>
      </c>
      <c r="D143" s="706" t="n"/>
      <c r="E143" s="1026" t="inlineStr">
        <is>
          <t>White Box Universal - 3 Ply-- BOPP Matt lamination 510 GSM</t>
        </is>
      </c>
      <c r="F143" s="706" t="inlineStr">
        <is>
          <t>E</t>
        </is>
      </c>
      <c r="G143" s="706" t="n">
        <v>0</v>
      </c>
      <c r="H143" s="706" t="inlineStr">
        <is>
          <t>3 Ply</t>
        </is>
      </c>
      <c r="I143" s="706" t="inlineStr">
        <is>
          <t>KRTW &amp; BOPP</t>
        </is>
      </c>
      <c r="J143" s="706" t="n"/>
      <c r="K143" s="706" t="inlineStr">
        <is>
          <t>U</t>
        </is>
      </c>
      <c r="L143" s="300" t="n">
        <v>100</v>
      </c>
      <c r="M143" s="300" t="n">
        <v>100</v>
      </c>
      <c r="N143" s="301" t="n">
        <v>100</v>
      </c>
      <c r="O143" s="16" t="inlineStr">
        <is>
          <t>Duplex</t>
        </is>
      </c>
      <c r="P143" s="17" t="n">
        <v>230</v>
      </c>
      <c r="Q143" s="17" t="n"/>
      <c r="R143" s="17" t="n"/>
      <c r="S143" s="455" t="n">
        <v>62</v>
      </c>
      <c r="T143" s="150">
        <f>(2*L143+2*M143+55)/25.4</f>
        <v/>
      </c>
      <c r="U143" s="150">
        <f>(M143+N143+25)/25.4</f>
        <v/>
      </c>
      <c r="V143" s="903">
        <f>$T144*$U144*P143/1550/1000</f>
        <v/>
      </c>
      <c r="W143" s="903">
        <f>S143*V143</f>
        <v/>
      </c>
      <c r="X143" s="903">
        <f>(V143*3%)</f>
        <v/>
      </c>
      <c r="Y143" s="903">
        <f>X143*S143</f>
        <v/>
      </c>
      <c r="Z143" s="903">
        <f>W143+Y143</f>
        <v/>
      </c>
      <c r="AA143" s="903" t="n">
        <v>7.5</v>
      </c>
      <c r="AB143" s="903">
        <f>(V143+X143)*AA143</f>
        <v/>
      </c>
      <c r="AC143" s="650" t="n">
        <v>0</v>
      </c>
      <c r="AD143" s="650">
        <f>(T143*U143)/225/3</f>
        <v/>
      </c>
      <c r="AE143" s="650">
        <f>(Z143+AB143+AC143+AD143)*2.5%</f>
        <v/>
      </c>
      <c r="AF143" s="650">
        <f>AB143+AC143+AD143+AE143</f>
        <v/>
      </c>
      <c r="AG143" s="650">
        <f>(Z143+AB143+AC143+AD143+AE143)*4%</f>
        <v/>
      </c>
      <c r="AH143" s="650">
        <f>(Z143+AF143)*10%</f>
        <v/>
      </c>
      <c r="AI143" s="650" t="n">
        <v>0</v>
      </c>
      <c r="AJ143" s="864">
        <f>Z143+AF143+AG143+AH143-AI143</f>
        <v/>
      </c>
      <c r="AK143" s="527">
        <f>AJ143+AJ144+AJ145</f>
        <v/>
      </c>
    </row>
    <row r="144">
      <c r="A144" s="706" t="n">
        <v>46</v>
      </c>
      <c r="B144" s="299" t="n">
        <v>46266</v>
      </c>
      <c r="C144" s="706" t="inlineStr">
        <is>
          <t>SKE</t>
        </is>
      </c>
      <c r="D144" s="706" t="n"/>
      <c r="E144" s="1026" t="inlineStr">
        <is>
          <t>White Box Universal - 3 Ply-- BOPP Matt lamination 510 GSM</t>
        </is>
      </c>
      <c r="F144" s="706" t="inlineStr">
        <is>
          <t>E</t>
        </is>
      </c>
      <c r="G144" s="706" t="n">
        <v>0</v>
      </c>
      <c r="H144" s="706" t="inlineStr">
        <is>
          <t>3 Ply</t>
        </is>
      </c>
      <c r="I144" s="706" t="inlineStr">
        <is>
          <t>KRTW &amp; BOPP</t>
        </is>
      </c>
      <c r="J144" s="706" t="n"/>
      <c r="K144" s="706" t="inlineStr">
        <is>
          <t>U</t>
        </is>
      </c>
      <c r="L144" s="300" t="n"/>
      <c r="M144" s="300" t="n"/>
      <c r="N144" s="301" t="n"/>
      <c r="O144" s="16" t="inlineStr">
        <is>
          <t>Semi Kraft</t>
        </is>
      </c>
      <c r="P144" s="17" t="n">
        <v>140</v>
      </c>
      <c r="Q144" s="17" t="n"/>
      <c r="R144" s="17" t="n"/>
      <c r="S144" s="455" t="n">
        <v>41</v>
      </c>
      <c r="T144" s="542">
        <f>ROUNDUP(T143,0)</f>
        <v/>
      </c>
      <c r="U144" s="542">
        <f>U143</f>
        <v/>
      </c>
      <c r="V144" s="903">
        <f>$T144*$U144*P144*1.3/1550/1000</f>
        <v/>
      </c>
      <c r="W144" s="903">
        <f>S144*V144</f>
        <v/>
      </c>
      <c r="X144" s="903">
        <f>(V144*3%)</f>
        <v/>
      </c>
      <c r="Y144" s="903">
        <f>X144*S144</f>
        <v/>
      </c>
      <c r="Z144" s="903">
        <f>W144+Y144</f>
        <v/>
      </c>
      <c r="AA144" s="903" t="n">
        <v>7.5</v>
      </c>
      <c r="AB144" s="903">
        <f>(V144+X144)*AA144</f>
        <v/>
      </c>
      <c r="AC144" s="650" t="n">
        <v>0</v>
      </c>
      <c r="AD144" s="650">
        <f>(T144*U144)/225/3</f>
        <v/>
      </c>
      <c r="AE144" s="650">
        <f>(Z144+AB144+AC144+AD144)*2.5%</f>
        <v/>
      </c>
      <c r="AF144" s="650">
        <f>AB144+AC144+AD144+AE144</f>
        <v/>
      </c>
      <c r="AG144" s="650">
        <f>(Z144+AB144+AC144+AD144+AE144)*4%</f>
        <v/>
      </c>
      <c r="AH144" s="650">
        <f>(Z144+AF144)*10%</f>
        <v/>
      </c>
      <c r="AI144" s="650" t="n">
        <v>0</v>
      </c>
      <c r="AJ144" s="864">
        <f>Z144+AF144+AG144+AH144-AI144</f>
        <v/>
      </c>
      <c r="AK144" s="505" t="inlineStr">
        <is>
          <t>ok</t>
        </is>
      </c>
    </row>
    <row r="145">
      <c r="A145" s="706" t="n">
        <v>46</v>
      </c>
      <c r="B145" s="299" t="n">
        <v>46266</v>
      </c>
      <c r="C145" s="706" t="inlineStr">
        <is>
          <t>SKE</t>
        </is>
      </c>
      <c r="D145" s="706" t="n"/>
      <c r="E145" s="1026" t="inlineStr">
        <is>
          <t>White Box Universal - 3 Ply-- BOPP Matt lamination 510 GSM</t>
        </is>
      </c>
      <c r="F145" s="706" t="inlineStr">
        <is>
          <t>E</t>
        </is>
      </c>
      <c r="G145" s="706" t="n">
        <v>0</v>
      </c>
      <c r="H145" s="706" t="inlineStr">
        <is>
          <t>3 Ply</t>
        </is>
      </c>
      <c r="I145" s="706" t="inlineStr">
        <is>
          <t>KRTW &amp; BOPP</t>
        </is>
      </c>
      <c r="J145" s="706" t="n"/>
      <c r="K145" s="706" t="inlineStr">
        <is>
          <t>U</t>
        </is>
      </c>
      <c r="L145" s="300" t="n"/>
      <c r="M145" s="300" t="n"/>
      <c r="N145" s="301" t="n"/>
      <c r="O145" s="16" t="inlineStr">
        <is>
          <t>Virgin Kraft</t>
        </is>
      </c>
      <c r="P145" s="17" t="n">
        <v>140</v>
      </c>
      <c r="Q145" s="17" t="n"/>
      <c r="R145" s="17" t="n"/>
      <c r="S145" s="455" t="n">
        <v>43.5</v>
      </c>
      <c r="T145" s="61">
        <f>T144</f>
        <v/>
      </c>
      <c r="U145" s="61">
        <f>U144</f>
        <v/>
      </c>
      <c r="V145" s="903">
        <f>$T145*$U145*P145/1550/1000</f>
        <v/>
      </c>
      <c r="W145" s="903">
        <f>S145*V145</f>
        <v/>
      </c>
      <c r="X145" s="903">
        <f>(V145*3%)</f>
        <v/>
      </c>
      <c r="Y145" s="903">
        <f>X145*S145</f>
        <v/>
      </c>
      <c r="Z145" s="903">
        <f>W145+Y145</f>
        <v/>
      </c>
      <c r="AA145" s="903" t="n">
        <v>7.5</v>
      </c>
      <c r="AB145" s="903">
        <f>(V145+X145)*AA145</f>
        <v/>
      </c>
      <c r="AC145" s="650" t="n">
        <v>0</v>
      </c>
      <c r="AD145" s="650">
        <f>(T145*U145)/225/3</f>
        <v/>
      </c>
      <c r="AE145" s="650">
        <f>(Z145+AB145+AC145+AD145)*2.5%</f>
        <v/>
      </c>
      <c r="AF145" s="650">
        <f>AB145+AC145+AD145+AE145</f>
        <v/>
      </c>
      <c r="AG145" s="650">
        <f>(Z145+AB145+AC145+AD145+AE145)*4%</f>
        <v/>
      </c>
      <c r="AH145" s="650">
        <f>(Z145+AF145)*10%</f>
        <v/>
      </c>
      <c r="AI145" s="650" t="n">
        <v>0</v>
      </c>
      <c r="AJ145" s="864">
        <f>Z145+AF145+AG145+AH145-AI145</f>
        <v/>
      </c>
      <c r="AK145" s="505" t="n"/>
    </row>
    <row r="146">
      <c r="A146" s="706" t="n">
        <v>47</v>
      </c>
      <c r="B146" s="299" t="n">
        <v>46266</v>
      </c>
      <c r="C146" s="706" t="inlineStr">
        <is>
          <t>SKE</t>
        </is>
      </c>
      <c r="D146" s="706" t="n"/>
      <c r="E146" s="1026" t="inlineStr">
        <is>
          <t>White Box Universal - 5 Ply 790 GSM</t>
        </is>
      </c>
      <c r="F146" s="706" t="inlineStr">
        <is>
          <t>E</t>
        </is>
      </c>
      <c r="G146" s="706" t="n">
        <v>0</v>
      </c>
      <c r="H146" s="706" t="inlineStr">
        <is>
          <t>5 Ply</t>
        </is>
      </c>
      <c r="I146" s="706" t="inlineStr">
        <is>
          <t>KRTW</t>
        </is>
      </c>
      <c r="J146" s="706" t="n"/>
      <c r="K146" s="706" t="inlineStr">
        <is>
          <t>U</t>
        </is>
      </c>
      <c r="L146" s="300" t="n">
        <v>100</v>
      </c>
      <c r="M146" s="300" t="n">
        <v>100</v>
      </c>
      <c r="N146" s="301" t="n">
        <v>100</v>
      </c>
      <c r="O146" s="16" t="inlineStr">
        <is>
          <t>Duplex</t>
        </is>
      </c>
      <c r="P146" s="17" t="n">
        <v>230</v>
      </c>
      <c r="Q146" s="17" t="n"/>
      <c r="R146" s="17" t="n"/>
      <c r="S146" s="455" t="n">
        <v>62</v>
      </c>
      <c r="T146" s="150">
        <f>(2*L146+2*M146+55)/25.4</f>
        <v/>
      </c>
      <c r="U146" s="150">
        <f>(M146+N146+25)/25.4</f>
        <v/>
      </c>
      <c r="V146" s="903">
        <f>$T147*$U147*P146/1550/1000</f>
        <v/>
      </c>
      <c r="W146" s="903">
        <f>S146*V146</f>
        <v/>
      </c>
      <c r="X146" s="903">
        <f>(V146*3%)</f>
        <v/>
      </c>
      <c r="Y146" s="903">
        <f>X146*S146</f>
        <v/>
      </c>
      <c r="Z146" s="903">
        <f>W146+Y146</f>
        <v/>
      </c>
      <c r="AA146" s="903" t="n">
        <v>7.5</v>
      </c>
      <c r="AB146" s="903">
        <f>(V146+X146)*AA146</f>
        <v/>
      </c>
      <c r="AC146" s="650" t="n">
        <v>0</v>
      </c>
      <c r="AD146" s="650" t="n">
        <v>0</v>
      </c>
      <c r="AE146" s="650">
        <f>(Z146+AB146+AC146+AD146)*2.5%</f>
        <v/>
      </c>
      <c r="AF146" s="650">
        <f>AB146+AC146+AD146+AE146</f>
        <v/>
      </c>
      <c r="AG146" s="650">
        <f>(Z146+AB146+AC146+AD146+AE146)*4%</f>
        <v/>
      </c>
      <c r="AH146" s="650">
        <f>(Z146+AF146)*10%</f>
        <v/>
      </c>
      <c r="AI146" s="650" t="n">
        <v>0</v>
      </c>
      <c r="AJ146" s="864">
        <f>Z146+AF146+AG146+AH146-AI146</f>
        <v/>
      </c>
      <c r="AK146" s="527">
        <f>AJ146+AJ147+AJ148</f>
        <v/>
      </c>
    </row>
    <row r="147">
      <c r="A147" s="706" t="n">
        <v>47</v>
      </c>
      <c r="B147" s="299" t="n">
        <v>46266</v>
      </c>
      <c r="C147" s="706" t="inlineStr">
        <is>
          <t>SKE</t>
        </is>
      </c>
      <c r="D147" s="706" t="n"/>
      <c r="E147" s="1026" t="inlineStr">
        <is>
          <t>White Box Universal - 5 Ply 790 GSM</t>
        </is>
      </c>
      <c r="F147" s="706" t="inlineStr">
        <is>
          <t>E</t>
        </is>
      </c>
      <c r="G147" s="706" t="n">
        <v>0</v>
      </c>
      <c r="H147" s="706" t="inlineStr">
        <is>
          <t>5 Ply</t>
        </is>
      </c>
      <c r="I147" s="706" t="inlineStr">
        <is>
          <t>KRTW</t>
        </is>
      </c>
      <c r="J147" s="706" t="n"/>
      <c r="K147" s="706" t="inlineStr">
        <is>
          <t>U</t>
        </is>
      </c>
      <c r="L147" s="300" t="n"/>
      <c r="M147" s="300" t="n"/>
      <c r="N147" s="301" t="n"/>
      <c r="O147" s="16" t="inlineStr">
        <is>
          <t>Semi Kraft</t>
        </is>
      </c>
      <c r="P147" s="17" t="n">
        <v>140</v>
      </c>
      <c r="Q147" s="17" t="n"/>
      <c r="R147" s="17" t="n"/>
      <c r="S147" s="455" t="n">
        <v>41</v>
      </c>
      <c r="T147" s="542">
        <f>ROUNDUP(T146,0)</f>
        <v/>
      </c>
      <c r="U147" s="542">
        <f>U146</f>
        <v/>
      </c>
      <c r="V147" s="903">
        <f>$T147*$U147*P147*1.3*2/1550/1000</f>
        <v/>
      </c>
      <c r="W147" s="903">
        <f>S147*V147</f>
        <v/>
      </c>
      <c r="X147" s="903">
        <f>(V147*3%)</f>
        <v/>
      </c>
      <c r="Y147" s="903">
        <f>X147*S147</f>
        <v/>
      </c>
      <c r="Z147" s="903">
        <f>W147+Y147</f>
        <v/>
      </c>
      <c r="AA147" s="903" t="n">
        <v>7.5</v>
      </c>
      <c r="AB147" s="903">
        <f>(V147+X147)*AA147</f>
        <v/>
      </c>
      <c r="AC147" s="650" t="n">
        <v>0</v>
      </c>
      <c r="AD147" s="650" t="n">
        <v>0</v>
      </c>
      <c r="AE147" s="650">
        <f>(Z147+AB147+AC147+AD147)*2.5%</f>
        <v/>
      </c>
      <c r="AF147" s="650">
        <f>AB147+AC147+AD147+AE147</f>
        <v/>
      </c>
      <c r="AG147" s="650">
        <f>(Z147+AB147+AC147+AD147+AE147)*4%</f>
        <v/>
      </c>
      <c r="AH147" s="650">
        <f>(Z147+AF147)*10%</f>
        <v/>
      </c>
      <c r="AI147" s="650" t="n">
        <v>0</v>
      </c>
      <c r="AJ147" s="864">
        <f>Z147+AF147+AG147+AH147-AI147</f>
        <v/>
      </c>
      <c r="AK147" s="505" t="inlineStr">
        <is>
          <t>ok</t>
        </is>
      </c>
    </row>
    <row r="148">
      <c r="A148" s="706" t="n">
        <v>47</v>
      </c>
      <c r="B148" s="299" t="n">
        <v>46266</v>
      </c>
      <c r="C148" s="706" t="inlineStr">
        <is>
          <t>SKE</t>
        </is>
      </c>
      <c r="D148" s="706" t="n"/>
      <c r="E148" s="1026" t="inlineStr">
        <is>
          <t>White Box Universal - 5 Ply 790 GSM</t>
        </is>
      </c>
      <c r="F148" s="706" t="inlineStr">
        <is>
          <t>E</t>
        </is>
      </c>
      <c r="G148" s="706" t="n">
        <v>0</v>
      </c>
      <c r="H148" s="706" t="inlineStr">
        <is>
          <t>5 Ply</t>
        </is>
      </c>
      <c r="I148" s="706" t="inlineStr">
        <is>
          <t>KRTW</t>
        </is>
      </c>
      <c r="J148" s="706" t="n"/>
      <c r="K148" s="706" t="inlineStr">
        <is>
          <t>U</t>
        </is>
      </c>
      <c r="L148" s="300" t="n"/>
      <c r="M148" s="300" t="n"/>
      <c r="N148" s="301" t="n"/>
      <c r="O148" s="16" t="inlineStr">
        <is>
          <t>Virgin Kraft</t>
        </is>
      </c>
      <c r="P148" s="17" t="n">
        <v>140</v>
      </c>
      <c r="Q148" s="17" t="n"/>
      <c r="R148" s="17" t="n"/>
      <c r="S148" s="455" t="n">
        <v>43.5</v>
      </c>
      <c r="T148" s="61">
        <f>T147</f>
        <v/>
      </c>
      <c r="U148" s="61">
        <f>U147</f>
        <v/>
      </c>
      <c r="V148" s="903">
        <f>$T148*$U148*P148*2/1550/1000</f>
        <v/>
      </c>
      <c r="W148" s="903">
        <f>S148*V148</f>
        <v/>
      </c>
      <c r="X148" s="903">
        <f>(V148*3%)</f>
        <v/>
      </c>
      <c r="Y148" s="903">
        <f>X148*S148</f>
        <v/>
      </c>
      <c r="Z148" s="903">
        <f>W148+Y148</f>
        <v/>
      </c>
      <c r="AA148" s="903" t="n">
        <v>7.5</v>
      </c>
      <c r="AB148" s="903">
        <f>(V148+X148)*AA148</f>
        <v/>
      </c>
      <c r="AC148" s="650" t="n">
        <v>0</v>
      </c>
      <c r="AD148" s="650" t="n">
        <v>0</v>
      </c>
      <c r="AE148" s="650">
        <f>(Z148+AB148+AC148+AD148)*2.5%</f>
        <v/>
      </c>
      <c r="AF148" s="650">
        <f>AB148+AC148+AD148+AE148</f>
        <v/>
      </c>
      <c r="AG148" s="650">
        <f>(Z148+AB148+AC148+AD148+AE148)*4%</f>
        <v/>
      </c>
      <c r="AH148" s="650">
        <f>(Z148+AF148)*10%</f>
        <v/>
      </c>
      <c r="AI148" s="650" t="n">
        <v>0</v>
      </c>
      <c r="AJ148" s="864">
        <f>Z148+AF148+AG148+AH148-AI148</f>
        <v/>
      </c>
      <c r="AK148" s="505" t="n"/>
    </row>
    <row r="149">
      <c r="A149" s="706" t="n">
        <v>48</v>
      </c>
      <c r="B149" s="299" t="n">
        <v>46266</v>
      </c>
      <c r="C149" s="706" t="inlineStr">
        <is>
          <t>SKE</t>
        </is>
      </c>
      <c r="D149" s="706" t="n"/>
      <c r="E149" s="1026" t="inlineStr">
        <is>
          <t>White Box Universal - 5 Ply-- BOPP Matt lamination 790 GSM</t>
        </is>
      </c>
      <c r="F149" s="706" t="inlineStr">
        <is>
          <t>E</t>
        </is>
      </c>
      <c r="G149" s="706" t="n">
        <v>0</v>
      </c>
      <c r="H149" s="706" t="inlineStr">
        <is>
          <t>5 Ply</t>
        </is>
      </c>
      <c r="I149" s="706" t="inlineStr">
        <is>
          <t>KRTW &amp; BOPP</t>
        </is>
      </c>
      <c r="J149" s="706" t="n"/>
      <c r="K149" s="706" t="inlineStr">
        <is>
          <t>U</t>
        </is>
      </c>
      <c r="L149" s="300" t="n">
        <v>100</v>
      </c>
      <c r="M149" s="300" t="n">
        <v>100</v>
      </c>
      <c r="N149" s="301" t="n">
        <v>100</v>
      </c>
      <c r="O149" s="16" t="inlineStr">
        <is>
          <t>Duplex</t>
        </is>
      </c>
      <c r="P149" s="17" t="n">
        <v>230</v>
      </c>
      <c r="Q149" s="17" t="n"/>
      <c r="R149" s="17" t="n"/>
      <c r="S149" s="455" t="n">
        <v>62</v>
      </c>
      <c r="T149" s="150">
        <f>(2*L149+2*M149+55)/25.4</f>
        <v/>
      </c>
      <c r="U149" s="150">
        <f>(M149+N149+25)/25.4</f>
        <v/>
      </c>
      <c r="V149" s="903">
        <f>$T150*$U150*P149/1550/1000</f>
        <v/>
      </c>
      <c r="W149" s="903">
        <f>S149*V149</f>
        <v/>
      </c>
      <c r="X149" s="903">
        <f>(V149*3%)</f>
        <v/>
      </c>
      <c r="Y149" s="903">
        <f>X149*S149</f>
        <v/>
      </c>
      <c r="Z149" s="903">
        <f>W149+Y149</f>
        <v/>
      </c>
      <c r="AA149" s="903" t="n">
        <v>7.5</v>
      </c>
      <c r="AB149" s="903">
        <f>(V149+X149)*AA149</f>
        <v/>
      </c>
      <c r="AC149" s="650" t="n">
        <v>0</v>
      </c>
      <c r="AD149" s="650">
        <f>(T149*U149)/225/3</f>
        <v/>
      </c>
      <c r="AE149" s="650">
        <f>(Z149+AB149+AC149+AD149)*2.5%</f>
        <v/>
      </c>
      <c r="AF149" s="650">
        <f>AB149+AC149+AD149+AE149</f>
        <v/>
      </c>
      <c r="AG149" s="650">
        <f>(Z149+AB149+AC149+AD149+AE149)*4%</f>
        <v/>
      </c>
      <c r="AH149" s="650">
        <f>(Z149+AF149)*10%</f>
        <v/>
      </c>
      <c r="AI149" s="650" t="n">
        <v>0</v>
      </c>
      <c r="AJ149" s="864">
        <f>Z149+AF149+AG149+AH149-AI149</f>
        <v/>
      </c>
      <c r="AK149" s="527">
        <f>AJ149+AJ150+AJ151</f>
        <v/>
      </c>
    </row>
    <row r="150">
      <c r="A150" s="706" t="n">
        <v>48</v>
      </c>
      <c r="B150" s="299" t="n">
        <v>46266</v>
      </c>
      <c r="C150" s="706" t="inlineStr">
        <is>
          <t>SKE</t>
        </is>
      </c>
      <c r="D150" s="706" t="n"/>
      <c r="E150" s="1026" t="inlineStr">
        <is>
          <t>White Box Universal - 5 Ply-- BOPP Matt lamination 790 GSM</t>
        </is>
      </c>
      <c r="F150" s="706" t="inlineStr">
        <is>
          <t>E</t>
        </is>
      </c>
      <c r="G150" s="706" t="n">
        <v>0</v>
      </c>
      <c r="H150" s="706" t="inlineStr">
        <is>
          <t>5 Ply</t>
        </is>
      </c>
      <c r="I150" s="706" t="inlineStr">
        <is>
          <t>KRTW &amp; BOPP</t>
        </is>
      </c>
      <c r="J150" s="706" t="n"/>
      <c r="K150" s="706" t="inlineStr">
        <is>
          <t>U</t>
        </is>
      </c>
      <c r="L150" s="300" t="n"/>
      <c r="M150" s="300" t="n"/>
      <c r="N150" s="301" t="n"/>
      <c r="O150" s="16" t="inlineStr">
        <is>
          <t>Semi Kraft</t>
        </is>
      </c>
      <c r="P150" s="17" t="n">
        <v>140</v>
      </c>
      <c r="Q150" s="17" t="n"/>
      <c r="R150" s="17" t="n"/>
      <c r="S150" s="455" t="n">
        <v>41</v>
      </c>
      <c r="T150" s="542">
        <f>ROUNDUP(T149,0)</f>
        <v/>
      </c>
      <c r="U150" s="542">
        <f>U149</f>
        <v/>
      </c>
      <c r="V150" s="903">
        <f>$T150*$U150*P150*1.3*2/1550/1000</f>
        <v/>
      </c>
      <c r="W150" s="903">
        <f>S150*V150</f>
        <v/>
      </c>
      <c r="X150" s="903">
        <f>(V150*3%)</f>
        <v/>
      </c>
      <c r="Y150" s="903">
        <f>X150*S150</f>
        <v/>
      </c>
      <c r="Z150" s="903">
        <f>W150+Y150</f>
        <v/>
      </c>
      <c r="AA150" s="903" t="n">
        <v>7.5</v>
      </c>
      <c r="AB150" s="903">
        <f>(V150+X150)*AA150</f>
        <v/>
      </c>
      <c r="AC150" s="650" t="n">
        <v>0</v>
      </c>
      <c r="AD150" s="650">
        <f>(T150*U150)/225/3</f>
        <v/>
      </c>
      <c r="AE150" s="650">
        <f>(Z150+AB150+AC150+AD150)*2.5%</f>
        <v/>
      </c>
      <c r="AF150" s="650">
        <f>AB150+AC150+AD150+AE150</f>
        <v/>
      </c>
      <c r="AG150" s="650">
        <f>(Z150+AB150+AC150+AD150+AE150)*4%</f>
        <v/>
      </c>
      <c r="AH150" s="650">
        <f>(Z150+AF150)*10%</f>
        <v/>
      </c>
      <c r="AI150" s="650" t="n">
        <v>0</v>
      </c>
      <c r="AJ150" s="864">
        <f>Z150+AF150+AG150+AH150-AI150</f>
        <v/>
      </c>
      <c r="AK150" s="505" t="inlineStr">
        <is>
          <t>ok</t>
        </is>
      </c>
    </row>
    <row r="151">
      <c r="A151" s="706" t="n">
        <v>48</v>
      </c>
      <c r="B151" s="299" t="n">
        <v>46266</v>
      </c>
      <c r="C151" s="706" t="inlineStr">
        <is>
          <t>SKE</t>
        </is>
      </c>
      <c r="D151" s="706" t="n"/>
      <c r="E151" s="1026" t="inlineStr">
        <is>
          <t>White Box Universal - 5 Ply-- BOPP Matt lamination 790 GSM</t>
        </is>
      </c>
      <c r="F151" s="706" t="inlineStr">
        <is>
          <t>E</t>
        </is>
      </c>
      <c r="G151" s="706" t="n">
        <v>0</v>
      </c>
      <c r="H151" s="706" t="inlineStr">
        <is>
          <t>5 Ply</t>
        </is>
      </c>
      <c r="I151" s="706" t="inlineStr">
        <is>
          <t>KRTW &amp; BOPP</t>
        </is>
      </c>
      <c r="J151" s="706" t="n"/>
      <c r="K151" s="706" t="inlineStr">
        <is>
          <t>U</t>
        </is>
      </c>
      <c r="L151" s="300" t="n"/>
      <c r="M151" s="300" t="n"/>
      <c r="N151" s="301" t="n"/>
      <c r="O151" s="16" t="inlineStr">
        <is>
          <t>Virgin Kraft</t>
        </is>
      </c>
      <c r="P151" s="17" t="n">
        <v>140</v>
      </c>
      <c r="Q151" s="17" t="n"/>
      <c r="R151" s="17" t="n"/>
      <c r="S151" s="455" t="n">
        <v>43.5</v>
      </c>
      <c r="T151" s="61">
        <f>T150</f>
        <v/>
      </c>
      <c r="U151" s="61">
        <f>U150</f>
        <v/>
      </c>
      <c r="V151" s="903">
        <f>$T151*$U151*P151*2/1550/1000</f>
        <v/>
      </c>
      <c r="W151" s="903">
        <f>S151*V151</f>
        <v/>
      </c>
      <c r="X151" s="903">
        <f>(V151*3%)</f>
        <v/>
      </c>
      <c r="Y151" s="903">
        <f>X151*S151</f>
        <v/>
      </c>
      <c r="Z151" s="903">
        <f>W151+Y151</f>
        <v/>
      </c>
      <c r="AA151" s="903" t="n">
        <v>7.5</v>
      </c>
      <c r="AB151" s="903">
        <f>(V151+X151)*AA151</f>
        <v/>
      </c>
      <c r="AC151" s="650" t="n">
        <v>0</v>
      </c>
      <c r="AD151" s="650">
        <f>(T151*U151)/225/3</f>
        <v/>
      </c>
      <c r="AE151" s="650">
        <f>(Z151+AB151+AC151+AD151)*2.5%</f>
        <v/>
      </c>
      <c r="AF151" s="650">
        <f>AB151+AC151+AD151+AE151</f>
        <v/>
      </c>
      <c r="AG151" s="650">
        <f>(Z151+AB151+AC151+AD151+AE151)*4%</f>
        <v/>
      </c>
      <c r="AH151" s="650">
        <f>(Z151+AF151)*10%</f>
        <v/>
      </c>
      <c r="AI151" s="650" t="n">
        <v>0</v>
      </c>
      <c r="AJ151" s="864">
        <f>Z151+AF151+AG151+AH151-AI151</f>
        <v/>
      </c>
      <c r="AK151" s="506" t="n"/>
    </row>
    <row r="152">
      <c r="A152" s="706" t="n">
        <v>49</v>
      </c>
      <c r="B152" s="299" t="n">
        <v>46266</v>
      </c>
      <c r="C152" s="706" t="inlineStr">
        <is>
          <t>SKE</t>
        </is>
      </c>
      <c r="D152" s="706" t="n"/>
      <c r="E152" s="1026" t="inlineStr">
        <is>
          <t>WHITE INLAY 2D- 3 Ply (ONE SIDE WHITE PAPER) 560 GSM</t>
        </is>
      </c>
      <c r="F152" s="706" t="inlineStr">
        <is>
          <t>B</t>
        </is>
      </c>
      <c r="G152" s="706" t="n">
        <v>0</v>
      </c>
      <c r="H152" s="706" t="inlineStr">
        <is>
          <t>3 Ply</t>
        </is>
      </c>
      <c r="I152" s="706" t="inlineStr">
        <is>
          <t>KEL &amp; WHITE</t>
        </is>
      </c>
      <c r="J152" s="706" t="n"/>
      <c r="K152" s="706" t="inlineStr">
        <is>
          <t>Inlay</t>
        </is>
      </c>
      <c r="L152" s="300" t="n">
        <v>100</v>
      </c>
      <c r="M152" s="300" t="n">
        <v>100</v>
      </c>
      <c r="N152" s="309" t="n"/>
      <c r="O152" s="16" t="inlineStr">
        <is>
          <t>Duplex</t>
        </is>
      </c>
      <c r="P152" s="17" t="n">
        <v>230</v>
      </c>
      <c r="Q152" s="17" t="n"/>
      <c r="R152" s="17" t="n"/>
      <c r="S152" s="455" t="n">
        <v>62</v>
      </c>
      <c r="T152" s="150">
        <f>(M152+15)/25.4</f>
        <v/>
      </c>
      <c r="U152" s="150">
        <f>(L152+15)/25.4</f>
        <v/>
      </c>
      <c r="V152" s="903">
        <f>((T153*U153*P152)/1550)/1000</f>
        <v/>
      </c>
      <c r="W152" s="903">
        <f>V152*S152</f>
        <v/>
      </c>
      <c r="X152" s="903">
        <f>(V152*3%)</f>
        <v/>
      </c>
      <c r="Y152" s="903">
        <f>X152*S152</f>
        <v/>
      </c>
      <c r="Z152" s="903">
        <f>W152+Y152</f>
        <v/>
      </c>
      <c r="AA152" s="903" t="n">
        <v>6.85</v>
      </c>
      <c r="AB152" s="903">
        <f>(V152+X152)*AA152</f>
        <v/>
      </c>
      <c r="AC152" s="650">
        <f>0.5/3</f>
        <v/>
      </c>
      <c r="AD152" s="650" t="n">
        <v>0</v>
      </c>
      <c r="AE152" s="650" t="n">
        <v>0</v>
      </c>
      <c r="AF152" s="650">
        <f>AB152+AC152+AD152+AE152</f>
        <v/>
      </c>
      <c r="AG152" s="650">
        <f>0.1/3</f>
        <v/>
      </c>
      <c r="AH152" s="650">
        <f>(Z152+AF152+AG152)*10%</f>
        <v/>
      </c>
      <c r="AI152" s="650" t="n">
        <v>0</v>
      </c>
      <c r="AJ152" s="864">
        <f>Z152+AF152+AG152+AH152-AI152</f>
        <v/>
      </c>
      <c r="AK152" s="504">
        <f>AJ152+AJ153+AJ154</f>
        <v/>
      </c>
    </row>
    <row r="153">
      <c r="A153" s="706" t="n">
        <v>49</v>
      </c>
      <c r="B153" s="299" t="n">
        <v>46266</v>
      </c>
      <c r="C153" s="706" t="inlineStr">
        <is>
          <t>SKE</t>
        </is>
      </c>
      <c r="D153" s="706" t="n"/>
      <c r="E153" s="1026" t="inlineStr">
        <is>
          <t>WHITE INLAY 2D- 3 Ply (ONE SIDE WHITE PAPER) 560 GSM</t>
        </is>
      </c>
      <c r="F153" s="706" t="inlineStr">
        <is>
          <t>B</t>
        </is>
      </c>
      <c r="G153" s="706" t="n">
        <v>0</v>
      </c>
      <c r="H153" s="706" t="inlineStr">
        <is>
          <t>3 Ply</t>
        </is>
      </c>
      <c r="I153" s="706" t="inlineStr">
        <is>
          <t>KEL &amp; WHITE</t>
        </is>
      </c>
      <c r="J153" s="706" t="n"/>
      <c r="K153" s="706" t="inlineStr">
        <is>
          <t>Inlay</t>
        </is>
      </c>
      <c r="L153" s="300" t="n"/>
      <c r="M153" s="300" t="n"/>
      <c r="N153" s="309" t="n"/>
      <c r="O153" s="16" t="inlineStr">
        <is>
          <t>Semi Kraft</t>
        </is>
      </c>
      <c r="P153" s="17" t="n">
        <v>150</v>
      </c>
      <c r="Q153" s="17" t="n"/>
      <c r="R153" s="17" t="n"/>
      <c r="S153" s="455" t="n">
        <v>41</v>
      </c>
      <c r="T153" s="61">
        <f>ROUNDUP($T152,0)+0.2</f>
        <v/>
      </c>
      <c r="U153" s="61">
        <f>ROUNDUP($U152,0)+0.3</f>
        <v/>
      </c>
      <c r="V153" s="903">
        <f>((T153*U153*P153*1.45)/1550)/1000</f>
        <v/>
      </c>
      <c r="W153" s="903">
        <f>V153*S153</f>
        <v/>
      </c>
      <c r="X153" s="903">
        <f>(V153*3%)</f>
        <v/>
      </c>
      <c r="Y153" s="903">
        <f>X153*S153</f>
        <v/>
      </c>
      <c r="Z153" s="903">
        <f>W153+Y153</f>
        <v/>
      </c>
      <c r="AA153" s="903" t="n">
        <v>6.85</v>
      </c>
      <c r="AB153" s="903">
        <f>(V153+X153)*AA153</f>
        <v/>
      </c>
      <c r="AC153" s="650">
        <f>0.5/3</f>
        <v/>
      </c>
      <c r="AD153" s="650" t="n">
        <v>0</v>
      </c>
      <c r="AE153" s="650" t="n">
        <v>0</v>
      </c>
      <c r="AF153" s="650">
        <f>AB153+AC153+AD153+AE153</f>
        <v/>
      </c>
      <c r="AG153" s="650">
        <f>0.1/3</f>
        <v/>
      </c>
      <c r="AH153" s="650">
        <f>(Z153+AF153+AG153)*10%</f>
        <v/>
      </c>
      <c r="AI153" s="650" t="n">
        <v>0</v>
      </c>
      <c r="AJ153" s="864">
        <f>Z153+AF153+AG153+AH153-AI153</f>
        <v/>
      </c>
      <c r="AK153" s="505" t="inlineStr">
        <is>
          <t>ok</t>
        </is>
      </c>
    </row>
    <row r="154">
      <c r="A154" s="706" t="n">
        <v>49</v>
      </c>
      <c r="B154" s="299" t="n">
        <v>46266</v>
      </c>
      <c r="C154" s="706" t="inlineStr">
        <is>
          <t>SKE</t>
        </is>
      </c>
      <c r="D154" s="706" t="n"/>
      <c r="E154" s="1026" t="inlineStr">
        <is>
          <t>WHITE INLAY 2D- 3 Ply (ONE SIDE WHITE PAPER) 560 GSM</t>
        </is>
      </c>
      <c r="F154" s="706" t="inlineStr">
        <is>
          <t>B</t>
        </is>
      </c>
      <c r="G154" s="706" t="n">
        <v>0</v>
      </c>
      <c r="H154" s="706" t="inlineStr">
        <is>
          <t>3 Ply</t>
        </is>
      </c>
      <c r="I154" s="706" t="inlineStr">
        <is>
          <t>KEL &amp; WHITE</t>
        </is>
      </c>
      <c r="J154" s="706" t="n"/>
      <c r="K154" s="706" t="inlineStr">
        <is>
          <t>Inlay</t>
        </is>
      </c>
      <c r="L154" s="300" t="n"/>
      <c r="M154" s="300" t="n"/>
      <c r="N154" s="309" t="n"/>
      <c r="O154" s="16" t="inlineStr">
        <is>
          <t>Virgin Kraft</t>
        </is>
      </c>
      <c r="P154" s="17" t="n">
        <v>180</v>
      </c>
      <c r="Q154" s="17" t="n"/>
      <c r="R154" s="17" t="n"/>
      <c r="S154" s="455" t="n">
        <v>43.5</v>
      </c>
      <c r="T154" s="61">
        <f>T153</f>
        <v/>
      </c>
      <c r="U154" s="61">
        <f>U153</f>
        <v/>
      </c>
      <c r="V154" s="903">
        <f>((T154*U154*P154)/1550)/1000</f>
        <v/>
      </c>
      <c r="W154" s="903">
        <f>V154*S154</f>
        <v/>
      </c>
      <c r="X154" s="903">
        <f>(V154*3%)</f>
        <v/>
      </c>
      <c r="Y154" s="903">
        <f>X154*S154</f>
        <v/>
      </c>
      <c r="Z154" s="903">
        <f>W154+Y154</f>
        <v/>
      </c>
      <c r="AA154" s="903" t="n">
        <v>6.85</v>
      </c>
      <c r="AB154" s="903">
        <f>(V154+X154)*AA154</f>
        <v/>
      </c>
      <c r="AC154" s="650">
        <f>0.5/3</f>
        <v/>
      </c>
      <c r="AD154" s="650" t="n">
        <v>0</v>
      </c>
      <c r="AE154" s="650" t="n">
        <v>0</v>
      </c>
      <c r="AF154" s="650">
        <f>AB154+AC154+AD154+AE154</f>
        <v/>
      </c>
      <c r="AG154" s="650">
        <f>0.1/3</f>
        <v/>
      </c>
      <c r="AH154" s="650">
        <f>(Z154+AF154+AG154)*10%</f>
        <v/>
      </c>
      <c r="AI154" s="650" t="n">
        <v>0</v>
      </c>
      <c r="AJ154" s="864">
        <f>Z154+AF154+AG154+AH154-AI154</f>
        <v/>
      </c>
      <c r="AK154" s="506" t="n"/>
    </row>
    <row r="155" ht="16.5" customHeight="1">
      <c r="A155" s="706" t="n">
        <v>50</v>
      </c>
      <c r="B155" s="299" t="n">
        <v>46266</v>
      </c>
      <c r="C155" s="706" t="inlineStr">
        <is>
          <t>SKE</t>
        </is>
      </c>
      <c r="D155" s="706" t="n"/>
      <c r="E155" s="1032" t="inlineStr">
        <is>
          <t>WHITE INLAY SIDES 2D- 3 Ply (BOTH SIDE WHITE PAPER) 610 GSM</t>
        </is>
      </c>
      <c r="F155" s="706" t="inlineStr">
        <is>
          <t>B</t>
        </is>
      </c>
      <c r="G155" s="706" t="n">
        <v>0</v>
      </c>
      <c r="H155" s="706" t="inlineStr">
        <is>
          <t>3 Ply</t>
        </is>
      </c>
      <c r="I155" s="706" t="inlineStr">
        <is>
          <t>KEL &amp; WHITE</t>
        </is>
      </c>
      <c r="J155" s="706" t="n"/>
      <c r="K155" s="706" t="inlineStr">
        <is>
          <t>Inlay</t>
        </is>
      </c>
      <c r="L155" s="300" t="n">
        <v>100</v>
      </c>
      <c r="M155" s="300" t="n">
        <v>100</v>
      </c>
      <c r="N155" s="309" t="n"/>
      <c r="O155" s="16" t="inlineStr">
        <is>
          <t>Duplex</t>
        </is>
      </c>
      <c r="P155" s="17" t="n">
        <v>230</v>
      </c>
      <c r="Q155" s="17" t="n"/>
      <c r="R155" s="17" t="n"/>
      <c r="S155" s="455" t="n">
        <v>62</v>
      </c>
      <c r="T155" s="150">
        <f>(M155+15)/25.4</f>
        <v/>
      </c>
      <c r="U155" s="150">
        <f>(L155+15)/25.4</f>
        <v/>
      </c>
      <c r="V155" s="903">
        <f>((T156*U156*P155)/1550)/1000</f>
        <v/>
      </c>
      <c r="W155" s="903">
        <f>V155*S155</f>
        <v/>
      </c>
      <c r="X155" s="903">
        <f>(V155*3%)</f>
        <v/>
      </c>
      <c r="Y155" s="903">
        <f>X155*S155</f>
        <v/>
      </c>
      <c r="Z155" s="903">
        <f>W155+Y155</f>
        <v/>
      </c>
      <c r="AA155" s="903" t="n">
        <v>6.85</v>
      </c>
      <c r="AB155" s="903">
        <f>(V155+X155)*AA155</f>
        <v/>
      </c>
      <c r="AC155" s="650">
        <f>0.5/3</f>
        <v/>
      </c>
      <c r="AD155" s="650" t="n">
        <v>0</v>
      </c>
      <c r="AE155" s="650" t="n">
        <v>0</v>
      </c>
      <c r="AF155" s="650">
        <f>AB155+AC155+AD155+AE155</f>
        <v/>
      </c>
      <c r="AG155" s="650">
        <f>0.1/3</f>
        <v/>
      </c>
      <c r="AH155" s="650">
        <f>(Z155+AF155+AG155)*10%</f>
        <v/>
      </c>
      <c r="AI155" s="650" t="n">
        <v>0</v>
      </c>
      <c r="AJ155" s="864">
        <f>Z155+AF155+AG155+AH155-AI155</f>
        <v/>
      </c>
      <c r="AK155" s="504">
        <f>AJ155+AJ156+AJ157</f>
        <v/>
      </c>
    </row>
    <row r="156">
      <c r="A156" s="706" t="n">
        <v>50</v>
      </c>
      <c r="B156" s="299" t="n">
        <v>46266</v>
      </c>
      <c r="C156" s="706" t="inlineStr">
        <is>
          <t>SKE</t>
        </is>
      </c>
      <c r="D156" s="706" t="n"/>
      <c r="E156" s="1032" t="inlineStr">
        <is>
          <t>WHITE INLAY SIDES 2D- 3 Ply (BOTH SIDE WHITE PAPER) 610 GSM</t>
        </is>
      </c>
      <c r="F156" s="706" t="inlineStr">
        <is>
          <t>B</t>
        </is>
      </c>
      <c r="G156" s="706" t="n">
        <v>0</v>
      </c>
      <c r="H156" s="706" t="inlineStr">
        <is>
          <t>3 Ply</t>
        </is>
      </c>
      <c r="I156" s="706" t="inlineStr">
        <is>
          <t>KEL &amp; WHITE</t>
        </is>
      </c>
      <c r="J156" s="706" t="n"/>
      <c r="K156" s="706" t="inlineStr">
        <is>
          <t>Inlay</t>
        </is>
      </c>
      <c r="L156" s="300" t="n"/>
      <c r="M156" s="300" t="n"/>
      <c r="N156" s="309" t="n"/>
      <c r="O156" s="16" t="inlineStr">
        <is>
          <t>Semi Kraft</t>
        </is>
      </c>
      <c r="P156" s="17" t="n">
        <v>150</v>
      </c>
      <c r="Q156" s="17" t="n"/>
      <c r="R156" s="17" t="n"/>
      <c r="S156" s="455" t="n">
        <v>41</v>
      </c>
      <c r="T156" s="61">
        <f>ROUNDUP($T155,0)+0.2</f>
        <v/>
      </c>
      <c r="U156" s="61">
        <f>ROUNDUP($U155,0)+0.3</f>
        <v/>
      </c>
      <c r="V156" s="903">
        <f>((T156*U156*P156*1.45)/1550)/1000</f>
        <v/>
      </c>
      <c r="W156" s="903">
        <f>V156*S156</f>
        <v/>
      </c>
      <c r="X156" s="903">
        <f>(V156*3%)</f>
        <v/>
      </c>
      <c r="Y156" s="903">
        <f>X156*S156</f>
        <v/>
      </c>
      <c r="Z156" s="903">
        <f>W156+Y156</f>
        <v/>
      </c>
      <c r="AA156" s="903" t="n">
        <v>6.85</v>
      </c>
      <c r="AB156" s="903">
        <f>(V156+X156)*AA156</f>
        <v/>
      </c>
      <c r="AC156" s="650">
        <f>0.5/3</f>
        <v/>
      </c>
      <c r="AD156" s="650" t="n">
        <v>0</v>
      </c>
      <c r="AE156" s="650" t="n">
        <v>0</v>
      </c>
      <c r="AF156" s="650">
        <f>AB156+AC156+AD156+AE156</f>
        <v/>
      </c>
      <c r="AG156" s="650">
        <f>0.1/3</f>
        <v/>
      </c>
      <c r="AH156" s="650">
        <f>(Z156+AF156+AG156)*10%</f>
        <v/>
      </c>
      <c r="AI156" s="650" t="n">
        <v>0</v>
      </c>
      <c r="AJ156" s="864">
        <f>Z156+AF156+AG156+AH156-AI156</f>
        <v/>
      </c>
      <c r="AK156" s="505" t="inlineStr">
        <is>
          <t>ok</t>
        </is>
      </c>
    </row>
    <row r="157">
      <c r="A157" s="706" t="n">
        <v>50</v>
      </c>
      <c r="B157" s="299" t="n">
        <v>46266</v>
      </c>
      <c r="C157" s="706" t="inlineStr">
        <is>
          <t>SKE</t>
        </is>
      </c>
      <c r="D157" s="706" t="n"/>
      <c r="E157" s="1032" t="inlineStr">
        <is>
          <t>WHITE INLAY SIDES 2D- 3 Ply (BOTH SIDE WHITE PAPER) 610 GSM</t>
        </is>
      </c>
      <c r="F157" s="706" t="inlineStr">
        <is>
          <t>B</t>
        </is>
      </c>
      <c r="G157" s="706" t="n">
        <v>0</v>
      </c>
      <c r="H157" s="706" t="inlineStr">
        <is>
          <t>3 Ply</t>
        </is>
      </c>
      <c r="I157" s="706" t="inlineStr">
        <is>
          <t>KEL &amp; WHITE</t>
        </is>
      </c>
      <c r="J157" s="706" t="n"/>
      <c r="K157" s="706" t="inlineStr">
        <is>
          <t>Inlay</t>
        </is>
      </c>
      <c r="L157" s="300" t="n"/>
      <c r="M157" s="300" t="n"/>
      <c r="N157" s="309" t="n"/>
      <c r="O157" s="16" t="inlineStr">
        <is>
          <t>Duplex</t>
        </is>
      </c>
      <c r="P157" s="17" t="n">
        <v>230</v>
      </c>
      <c r="Q157" s="17" t="n"/>
      <c r="R157" s="17" t="n"/>
      <c r="S157" s="455" t="n">
        <v>62</v>
      </c>
      <c r="T157" s="61">
        <f>T156</f>
        <v/>
      </c>
      <c r="U157" s="61">
        <f>U156</f>
        <v/>
      </c>
      <c r="V157" s="903">
        <f>((T157*U157*P157)/1550)/1000</f>
        <v/>
      </c>
      <c r="W157" s="903">
        <f>V157*S157</f>
        <v/>
      </c>
      <c r="X157" s="903">
        <f>(V157*3%)</f>
        <v/>
      </c>
      <c r="Y157" s="903">
        <f>X157*S157</f>
        <v/>
      </c>
      <c r="Z157" s="903">
        <f>W157+Y157</f>
        <v/>
      </c>
      <c r="AA157" s="903" t="n">
        <v>6.85</v>
      </c>
      <c r="AB157" s="903">
        <f>(V157+X157)*AA157</f>
        <v/>
      </c>
      <c r="AC157" s="650">
        <f>0.5/3</f>
        <v/>
      </c>
      <c r="AD157" s="650" t="n">
        <v>0</v>
      </c>
      <c r="AE157" s="650" t="n">
        <v>0</v>
      </c>
      <c r="AF157" s="650">
        <f>AB157+AC157+AD157+AE157</f>
        <v/>
      </c>
      <c r="AG157" s="650">
        <f>0.1/3</f>
        <v/>
      </c>
      <c r="AH157" s="650">
        <f>(Z157+AF157+AG157)*10%</f>
        <v/>
      </c>
      <c r="AI157" s="650" t="n">
        <v>0</v>
      </c>
      <c r="AJ157" s="864">
        <f>Z157+AF157+AG157+AH157-AI157</f>
        <v/>
      </c>
      <c r="AK157" s="505" t="n"/>
    </row>
    <row r="158" ht="15" customHeight="1">
      <c r="A158" s="706" t="n">
        <v>51</v>
      </c>
      <c r="B158" s="299" t="n">
        <v>46266</v>
      </c>
      <c r="C158" s="706" t="inlineStr">
        <is>
          <t>SKE</t>
        </is>
      </c>
      <c r="D158" s="706" t="n"/>
      <c r="E158" s="1027" t="inlineStr">
        <is>
          <t>HSC Master Box Universal - 3 Ply &lt; 300 mm 640 GSM</t>
        </is>
      </c>
      <c r="F158" s="706" t="inlineStr">
        <is>
          <t>B</t>
        </is>
      </c>
      <c r="G158" s="706" t="n">
        <v>0</v>
      </c>
      <c r="H158" s="706" t="inlineStr">
        <is>
          <t>3 Ply</t>
        </is>
      </c>
      <c r="I158" s="706" t="inlineStr">
        <is>
          <t>KRTB &amp; HSC</t>
        </is>
      </c>
      <c r="J158" s="706" t="inlineStr">
        <is>
          <t>&lt; 300 mm</t>
        </is>
      </c>
      <c r="K158" s="706" t="inlineStr">
        <is>
          <t>U</t>
        </is>
      </c>
      <c r="L158" s="300" t="n">
        <v>100</v>
      </c>
      <c r="M158" s="300" t="n">
        <v>100</v>
      </c>
      <c r="N158" s="301" t="n">
        <v>100</v>
      </c>
      <c r="O158" s="16" t="inlineStr">
        <is>
          <t>Virgin Kraft</t>
        </is>
      </c>
      <c r="P158" s="17" t="n">
        <v>230</v>
      </c>
      <c r="Q158" s="17" t="n"/>
      <c r="R158" s="17" t="n"/>
      <c r="S158" s="455" t="n">
        <v>43</v>
      </c>
      <c r="T158" s="150">
        <f>((M158/2)+(N158+10))/25.4</f>
        <v/>
      </c>
      <c r="U158" s="150">
        <f>((L158+M158)*2+55)/25.4</f>
        <v/>
      </c>
      <c r="V158" s="903">
        <f>((T159*U159*P158)/1550)/1000</f>
        <v/>
      </c>
      <c r="W158" s="903">
        <f>V158*S158</f>
        <v/>
      </c>
      <c r="X158" s="903">
        <f>(V158*3%)</f>
        <v/>
      </c>
      <c r="Y158" s="903">
        <f>X158*S158</f>
        <v/>
      </c>
      <c r="Z158" s="903">
        <f>W158+Y158</f>
        <v/>
      </c>
      <c r="AA158" s="903" t="n">
        <v>6.85</v>
      </c>
      <c r="AB158" s="903">
        <f>(V158+X158)*AA158</f>
        <v/>
      </c>
      <c r="AC158" s="650">
        <f>1/3</f>
        <v/>
      </c>
      <c r="AD158" s="650" t="n">
        <v>0</v>
      </c>
      <c r="AE158" s="650" t="n">
        <v>0</v>
      </c>
      <c r="AF158" s="650">
        <f>AB158+AC158+AD158+AE158</f>
        <v/>
      </c>
      <c r="AG158" s="650">
        <f>0.1/3</f>
        <v/>
      </c>
      <c r="AH158" s="650">
        <f>(Z158+AF158+AG158)*10%</f>
        <v/>
      </c>
      <c r="AI158" s="650" t="n">
        <v>0</v>
      </c>
      <c r="AJ158" s="864">
        <f>Z158+AF158+AG158+AH158-AI158</f>
        <v/>
      </c>
      <c r="AK158" s="505">
        <f>AJ158+AJ159+AJ160</f>
        <v/>
      </c>
    </row>
    <row r="159">
      <c r="A159" s="706" t="n">
        <v>51</v>
      </c>
      <c r="B159" s="299" t="n">
        <v>46266</v>
      </c>
      <c r="C159" s="706" t="inlineStr">
        <is>
          <t>SKE</t>
        </is>
      </c>
      <c r="D159" s="706" t="n"/>
      <c r="E159" s="1027" t="inlineStr">
        <is>
          <t>HSC Master Box Universal - 3 Ply &lt; 300 mm 640 GSM</t>
        </is>
      </c>
      <c r="F159" s="706" t="inlineStr">
        <is>
          <t>B</t>
        </is>
      </c>
      <c r="G159" s="706" t="n">
        <v>0</v>
      </c>
      <c r="H159" s="706" t="inlineStr">
        <is>
          <t>3 Ply</t>
        </is>
      </c>
      <c r="I159" s="706" t="inlineStr">
        <is>
          <t>KRTB &amp; HSC</t>
        </is>
      </c>
      <c r="J159" s="706" t="inlineStr">
        <is>
          <t>&lt; 300 mm</t>
        </is>
      </c>
      <c r="K159" s="706" t="inlineStr">
        <is>
          <t>U</t>
        </is>
      </c>
      <c r="L159" s="300" t="n"/>
      <c r="M159" s="300" t="n"/>
      <c r="N159" s="301" t="n"/>
      <c r="O159" s="16" t="inlineStr">
        <is>
          <t>Semi Kraft</t>
        </is>
      </c>
      <c r="P159" s="17" t="n">
        <v>180</v>
      </c>
      <c r="Q159" s="17" t="n"/>
      <c r="R159" s="17" t="n"/>
      <c r="S159" s="455" t="n">
        <v>41</v>
      </c>
      <c r="T159" s="61">
        <f>ROUNDUP($T158,0)+0.2</f>
        <v/>
      </c>
      <c r="U159" s="61">
        <f>ROUNDUP($U158,0)+0.3</f>
        <v/>
      </c>
      <c r="V159" s="903">
        <f>((T159*U159*P159*1.45)/1550)/1000</f>
        <v/>
      </c>
      <c r="W159" s="903">
        <f>V159*S159</f>
        <v/>
      </c>
      <c r="X159" s="903">
        <f>(V159*3%)</f>
        <v/>
      </c>
      <c r="Y159" s="903">
        <f>X159*S159</f>
        <v/>
      </c>
      <c r="Z159" s="903">
        <f>W159+Y159</f>
        <v/>
      </c>
      <c r="AA159" s="903" t="n">
        <v>6.85</v>
      </c>
      <c r="AB159" s="903">
        <f>(V159+X159)*AA159</f>
        <v/>
      </c>
      <c r="AC159" s="650">
        <f>1/3</f>
        <v/>
      </c>
      <c r="AD159" s="650" t="n">
        <v>0</v>
      </c>
      <c r="AE159" s="650" t="n">
        <v>0</v>
      </c>
      <c r="AF159" s="650">
        <f>AB159+AC159+AD159+AE159</f>
        <v/>
      </c>
      <c r="AG159" s="650">
        <f>0.1/3</f>
        <v/>
      </c>
      <c r="AH159" s="650">
        <f>(Z159+AF159+AG159)*10%</f>
        <v/>
      </c>
      <c r="AI159" s="650" t="n">
        <v>0</v>
      </c>
      <c r="AJ159" s="864">
        <f>Z159+AF159+AG159+AH159-AI159</f>
        <v/>
      </c>
      <c r="AK159" s="505" t="inlineStr">
        <is>
          <t>ok</t>
        </is>
      </c>
    </row>
    <row r="160">
      <c r="A160" s="706" t="n">
        <v>51</v>
      </c>
      <c r="B160" s="299" t="n">
        <v>46266</v>
      </c>
      <c r="C160" s="706" t="inlineStr">
        <is>
          <t>SKE</t>
        </is>
      </c>
      <c r="D160" s="706" t="n"/>
      <c r="E160" s="1027" t="inlineStr">
        <is>
          <t>HSC Master Box Universal - 3 Ply &lt; 300 mm 640 GSM</t>
        </is>
      </c>
      <c r="F160" s="706" t="inlineStr">
        <is>
          <t>B</t>
        </is>
      </c>
      <c r="G160" s="706" t="n">
        <v>0</v>
      </c>
      <c r="H160" s="706" t="inlineStr">
        <is>
          <t>3 Ply</t>
        </is>
      </c>
      <c r="I160" s="706" t="inlineStr">
        <is>
          <t>KRTB &amp; HSC</t>
        </is>
      </c>
      <c r="J160" s="706" t="inlineStr">
        <is>
          <t>&lt; 300 mm</t>
        </is>
      </c>
      <c r="K160" s="706" t="inlineStr">
        <is>
          <t>U</t>
        </is>
      </c>
      <c r="L160" s="300" t="n"/>
      <c r="M160" s="300" t="n"/>
      <c r="N160" s="301" t="n"/>
      <c r="O160" s="16" t="inlineStr">
        <is>
          <t>Virgin Kraft</t>
        </is>
      </c>
      <c r="P160" s="17" t="n">
        <v>230</v>
      </c>
      <c r="Q160" s="17" t="n"/>
      <c r="R160" s="17" t="n"/>
      <c r="S160" s="455" t="n">
        <v>43</v>
      </c>
      <c r="T160" s="61">
        <f>T159</f>
        <v/>
      </c>
      <c r="U160" s="61">
        <f>U159</f>
        <v/>
      </c>
      <c r="V160" s="903">
        <f>((T160*U160*P160)/1550)/1000</f>
        <v/>
      </c>
      <c r="W160" s="903">
        <f>V160*S160</f>
        <v/>
      </c>
      <c r="X160" s="903">
        <f>(V160*3%)</f>
        <v/>
      </c>
      <c r="Y160" s="903">
        <f>X160*S160</f>
        <v/>
      </c>
      <c r="Z160" s="903">
        <f>W160+Y160</f>
        <v/>
      </c>
      <c r="AA160" s="903" t="n">
        <v>6.85</v>
      </c>
      <c r="AB160" s="903">
        <f>(V160+X160)*AA160</f>
        <v/>
      </c>
      <c r="AC160" s="650">
        <f>1/3</f>
        <v/>
      </c>
      <c r="AD160" s="650" t="n">
        <v>0</v>
      </c>
      <c r="AE160" s="650" t="n">
        <v>0</v>
      </c>
      <c r="AF160" s="650">
        <f>AB160+AC160+AD160+AE160</f>
        <v/>
      </c>
      <c r="AG160" s="650">
        <f>0.1/3</f>
        <v/>
      </c>
      <c r="AH160" s="650">
        <f>(Z160+AF160+AG160)*10%</f>
        <v/>
      </c>
      <c r="AI160" s="650" t="n">
        <v>0</v>
      </c>
      <c r="AJ160" s="864">
        <f>Z160+AF160+AG160+AH160-AI160</f>
        <v/>
      </c>
      <c r="AK160" s="505" t="n"/>
    </row>
    <row r="161" ht="15" customHeight="1">
      <c r="A161" s="706" t="n">
        <v>52</v>
      </c>
      <c r="B161" s="299" t="n">
        <v>46266</v>
      </c>
      <c r="C161" s="706" t="inlineStr">
        <is>
          <t>SKE</t>
        </is>
      </c>
      <c r="D161" s="706" t="n"/>
      <c r="E161" s="1027" t="inlineStr">
        <is>
          <t>HSC Master Box Universal - 5 Ply &lt; 300 mm 1050 GSM</t>
        </is>
      </c>
      <c r="F161" s="706" t="inlineStr">
        <is>
          <t>B</t>
        </is>
      </c>
      <c r="G161" s="706" t="n">
        <v>0</v>
      </c>
      <c r="H161" s="706" t="inlineStr">
        <is>
          <t>5 Ply</t>
        </is>
      </c>
      <c r="I161" s="706" t="inlineStr">
        <is>
          <t>KRTB &amp; HSC</t>
        </is>
      </c>
      <c r="J161" s="706" t="inlineStr">
        <is>
          <t>&lt; 300 mm</t>
        </is>
      </c>
      <c r="K161" s="706" t="inlineStr">
        <is>
          <t>U</t>
        </is>
      </c>
      <c r="L161" s="300" t="n">
        <v>100</v>
      </c>
      <c r="M161" s="300" t="n">
        <v>100</v>
      </c>
      <c r="N161" s="301" t="n">
        <v>100</v>
      </c>
      <c r="O161" s="16" t="inlineStr">
        <is>
          <t>Virgin Kraft</t>
        </is>
      </c>
      <c r="P161" s="17" t="n">
        <v>230</v>
      </c>
      <c r="Q161" s="17" t="n"/>
      <c r="R161" s="17" t="n"/>
      <c r="S161" s="455" t="n">
        <v>43</v>
      </c>
      <c r="T161" s="150">
        <f>((M161/2)+(N161+10))/25.4</f>
        <v/>
      </c>
      <c r="U161" s="150">
        <f>((L161+M161)*2+55)/25.4</f>
        <v/>
      </c>
      <c r="V161" s="903">
        <f>((T162*U162*P161)/1550)/1000</f>
        <v/>
      </c>
      <c r="W161" s="903">
        <f>V161*S161</f>
        <v/>
      </c>
      <c r="X161" s="903">
        <f>(V161*3%)</f>
        <v/>
      </c>
      <c r="Y161" s="903">
        <f>X161*S161</f>
        <v/>
      </c>
      <c r="Z161" s="903">
        <f>W161+Y161</f>
        <v/>
      </c>
      <c r="AA161" s="903" t="n">
        <v>6.85</v>
      </c>
      <c r="AB161" s="903">
        <f>(V161+X161)*AA161</f>
        <v/>
      </c>
      <c r="AC161" s="650">
        <f>1/3</f>
        <v/>
      </c>
      <c r="AD161" s="650" t="n">
        <v>0</v>
      </c>
      <c r="AE161" s="650" t="n">
        <v>0</v>
      </c>
      <c r="AF161" s="650">
        <f>AB161+AC161+AD161+AE161</f>
        <v/>
      </c>
      <c r="AG161" s="650">
        <f>0.1/3</f>
        <v/>
      </c>
      <c r="AH161" s="650">
        <f>(Z161+AF161+AG161)*10%</f>
        <v/>
      </c>
      <c r="AI161" s="650" t="n">
        <v>0</v>
      </c>
      <c r="AJ161" s="864">
        <f>Z161+AF161+AG161+AH161-AI161</f>
        <v/>
      </c>
      <c r="AK161" s="505">
        <f>AJ161+AJ162+AJ163</f>
        <v/>
      </c>
    </row>
    <row r="162">
      <c r="A162" s="706" t="n">
        <v>52</v>
      </c>
      <c r="B162" s="299" t="n">
        <v>46266</v>
      </c>
      <c r="C162" s="706" t="inlineStr">
        <is>
          <t>SKE</t>
        </is>
      </c>
      <c r="D162" s="706" t="n"/>
      <c r="E162" s="1027" t="inlineStr">
        <is>
          <t>HSC Master Box Universal - 5 Ply &lt; 300 mm 1050 GSM</t>
        </is>
      </c>
      <c r="F162" s="706" t="inlineStr">
        <is>
          <t>B</t>
        </is>
      </c>
      <c r="G162" s="706" t="n">
        <v>0</v>
      </c>
      <c r="H162" s="706" t="inlineStr">
        <is>
          <t>5 Ply</t>
        </is>
      </c>
      <c r="I162" s="706" t="inlineStr">
        <is>
          <t>KRTB &amp; HSC</t>
        </is>
      </c>
      <c r="J162" s="706" t="inlineStr">
        <is>
          <t>&lt; 300 mm</t>
        </is>
      </c>
      <c r="K162" s="706" t="inlineStr">
        <is>
          <t>U</t>
        </is>
      </c>
      <c r="L162" s="300" t="n"/>
      <c r="M162" s="300" t="n"/>
      <c r="N162" s="301" t="n"/>
      <c r="O162" s="16" t="inlineStr">
        <is>
          <t>Semi Kraft</t>
        </is>
      </c>
      <c r="P162" s="17" t="n">
        <v>180</v>
      </c>
      <c r="Q162" s="17" t="n"/>
      <c r="R162" s="17" t="n"/>
      <c r="S162" s="455" t="n">
        <v>41</v>
      </c>
      <c r="T162" s="61">
        <f>ROUNDUP($T161,0)+0.2</f>
        <v/>
      </c>
      <c r="U162" s="61">
        <f>ROUNDUP($U161,0)+0.3</f>
        <v/>
      </c>
      <c r="V162" s="903">
        <f>((T162*U162*P162*1.45)*2/1550)/1000</f>
        <v/>
      </c>
      <c r="W162" s="903">
        <f>V162*S162</f>
        <v/>
      </c>
      <c r="X162" s="903">
        <f>(V162*3%)</f>
        <v/>
      </c>
      <c r="Y162" s="903">
        <f>X162*S162</f>
        <v/>
      </c>
      <c r="Z162" s="903">
        <f>W162+Y162</f>
        <v/>
      </c>
      <c r="AA162" s="903" t="n">
        <v>6.85</v>
      </c>
      <c r="AB162" s="903">
        <f>(V162+X162)*AA162</f>
        <v/>
      </c>
      <c r="AC162" s="650">
        <f>1/3</f>
        <v/>
      </c>
      <c r="AD162" s="650" t="n">
        <v>0</v>
      </c>
      <c r="AE162" s="650" t="n">
        <v>0</v>
      </c>
      <c r="AF162" s="650">
        <f>AB162+AC162+AD162+AE162</f>
        <v/>
      </c>
      <c r="AG162" s="650">
        <f>0.1/3</f>
        <v/>
      </c>
      <c r="AH162" s="650">
        <f>(Z162+AF162+AG162)*10%</f>
        <v/>
      </c>
      <c r="AI162" s="650" t="n">
        <v>0</v>
      </c>
      <c r="AJ162" s="864">
        <f>Z162+AF162+AG162+AH162-AI162</f>
        <v/>
      </c>
      <c r="AK162" s="505" t="inlineStr">
        <is>
          <t>ok</t>
        </is>
      </c>
    </row>
    <row r="163">
      <c r="A163" s="706" t="n">
        <v>52</v>
      </c>
      <c r="B163" s="299" t="n">
        <v>46266</v>
      </c>
      <c r="C163" s="706" t="inlineStr">
        <is>
          <t>SKE</t>
        </is>
      </c>
      <c r="D163" s="706" t="n"/>
      <c r="E163" s="1027" t="inlineStr">
        <is>
          <t>HSC Master Box Universal - 5 Ply &lt; 300 mm 1050 GSM</t>
        </is>
      </c>
      <c r="F163" s="706" t="inlineStr">
        <is>
          <t>B</t>
        </is>
      </c>
      <c r="G163" s="706" t="n">
        <v>0</v>
      </c>
      <c r="H163" s="706" t="inlineStr">
        <is>
          <t>5 Ply</t>
        </is>
      </c>
      <c r="I163" s="706" t="inlineStr">
        <is>
          <t>KRTB &amp; HSC</t>
        </is>
      </c>
      <c r="J163" s="706" t="inlineStr">
        <is>
          <t>&lt; 300 mm</t>
        </is>
      </c>
      <c r="K163" s="706" t="inlineStr">
        <is>
          <t>U</t>
        </is>
      </c>
      <c r="L163" s="300" t="n"/>
      <c r="M163" s="300" t="n"/>
      <c r="N163" s="301" t="n"/>
      <c r="O163" s="16" t="inlineStr">
        <is>
          <t>Virgin Kraft</t>
        </is>
      </c>
      <c r="P163" s="17" t="n">
        <v>230</v>
      </c>
      <c r="Q163" s="17" t="n"/>
      <c r="R163" s="17" t="n"/>
      <c r="S163" s="455" t="n">
        <v>43</v>
      </c>
      <c r="T163" s="61">
        <f>T162</f>
        <v/>
      </c>
      <c r="U163" s="61">
        <f>U162</f>
        <v/>
      </c>
      <c r="V163" s="903">
        <f>((T163*U163*P163)/1550)*2/1000</f>
        <v/>
      </c>
      <c r="W163" s="903">
        <f>V163*S163</f>
        <v/>
      </c>
      <c r="X163" s="903">
        <f>(V163*3%)</f>
        <v/>
      </c>
      <c r="Y163" s="903">
        <f>X163*S163</f>
        <v/>
      </c>
      <c r="Z163" s="903">
        <f>W163+Y163</f>
        <v/>
      </c>
      <c r="AA163" s="903" t="n">
        <v>6.85</v>
      </c>
      <c r="AB163" s="903">
        <f>(V163+X163)*AA163</f>
        <v/>
      </c>
      <c r="AC163" s="650">
        <f>1/3</f>
        <v/>
      </c>
      <c r="AD163" s="650" t="n">
        <v>0</v>
      </c>
      <c r="AE163" s="650" t="n">
        <v>0</v>
      </c>
      <c r="AF163" s="650">
        <f>AB163+AC163+AD163+AE163</f>
        <v/>
      </c>
      <c r="AG163" s="650">
        <f>0.1/3</f>
        <v/>
      </c>
      <c r="AH163" s="650">
        <f>(Z163+AF163+AG163)*10%</f>
        <v/>
      </c>
      <c r="AI163" s="650" t="n">
        <v>0</v>
      </c>
      <c r="AJ163" s="864">
        <f>Z163+AF163+AG163+AH163-AI163</f>
        <v/>
      </c>
      <c r="AK163" s="505" t="n"/>
    </row>
    <row r="164" ht="15" customHeight="1">
      <c r="A164" s="706" t="n">
        <v>53</v>
      </c>
      <c r="B164" s="299" t="n">
        <v>46266</v>
      </c>
      <c r="C164" s="706" t="inlineStr">
        <is>
          <t>SKE</t>
        </is>
      </c>
      <c r="D164" s="706" t="n"/>
      <c r="E164" s="1027" t="inlineStr">
        <is>
          <t>HSC Master Box Universal - 3 Ply &gt; 300 mm 640 GSM</t>
        </is>
      </c>
      <c r="F164" s="706" t="inlineStr">
        <is>
          <t>B</t>
        </is>
      </c>
      <c r="G164" s="706" t="n">
        <v>0</v>
      </c>
      <c r="H164" s="706" t="inlineStr">
        <is>
          <t>3 Ply</t>
        </is>
      </c>
      <c r="I164" s="706" t="inlineStr">
        <is>
          <t>KRTB &amp; HSC</t>
        </is>
      </c>
      <c r="J164" s="706" t="inlineStr">
        <is>
          <t>&gt; 300 mm</t>
        </is>
      </c>
      <c r="K164" s="706" t="inlineStr">
        <is>
          <t>U</t>
        </is>
      </c>
      <c r="L164" s="300" t="n">
        <v>100</v>
      </c>
      <c r="M164" s="300" t="n">
        <v>100</v>
      </c>
      <c r="N164" s="301" t="n">
        <v>100</v>
      </c>
      <c r="O164" s="16" t="inlineStr">
        <is>
          <t>Virgin Kraft</t>
        </is>
      </c>
      <c r="P164" s="17" t="n">
        <v>230</v>
      </c>
      <c r="Q164" s="17" t="n"/>
      <c r="R164" s="17" t="n"/>
      <c r="S164" s="455" t="n">
        <v>43</v>
      </c>
      <c r="T164" s="150">
        <f>((M164/2)+(N164+10))/25.4</f>
        <v/>
      </c>
      <c r="U164" s="150">
        <f>((L164+M164+55)*2)/25.4</f>
        <v/>
      </c>
      <c r="V164" s="903">
        <f>((T165*U165*P164)/1550)/1000</f>
        <v/>
      </c>
      <c r="W164" s="903">
        <f>V164*S164</f>
        <v/>
      </c>
      <c r="X164" s="903">
        <f>(V164*3%)</f>
        <v/>
      </c>
      <c r="Y164" s="903">
        <f>X164*S164</f>
        <v/>
      </c>
      <c r="Z164" s="903">
        <f>W164+Y164</f>
        <v/>
      </c>
      <c r="AA164" s="903" t="n">
        <v>6.85</v>
      </c>
      <c r="AB164" s="903">
        <f>(V164+X164)*AA164</f>
        <v/>
      </c>
      <c r="AC164" s="650">
        <f>1/3</f>
        <v/>
      </c>
      <c r="AD164" s="650" t="n">
        <v>0</v>
      </c>
      <c r="AE164" s="650" t="n">
        <v>0</v>
      </c>
      <c r="AF164" s="650">
        <f>AB164+AC164+AD164+AE164</f>
        <v/>
      </c>
      <c r="AG164" s="650">
        <f>0.1/3</f>
        <v/>
      </c>
      <c r="AH164" s="650">
        <f>(Z164+AF164+AG164)*10%</f>
        <v/>
      </c>
      <c r="AI164" s="650" t="n">
        <v>0</v>
      </c>
      <c r="AJ164" s="864">
        <f>Z164+AF164+AG164+AH164-AI164</f>
        <v/>
      </c>
      <c r="AK164" s="505">
        <f>AJ164+AJ165+AJ166</f>
        <v/>
      </c>
    </row>
    <row r="165">
      <c r="A165" s="706" t="n">
        <v>53</v>
      </c>
      <c r="B165" s="299" t="n">
        <v>46266</v>
      </c>
      <c r="C165" s="706" t="inlineStr">
        <is>
          <t>SKE</t>
        </is>
      </c>
      <c r="D165" s="706" t="n"/>
      <c r="E165" s="1027" t="inlineStr">
        <is>
          <t>HSC Master Box Universal - 3 Ply &gt; 300 mm 640 GSM</t>
        </is>
      </c>
      <c r="F165" s="706" t="inlineStr">
        <is>
          <t>B</t>
        </is>
      </c>
      <c r="G165" s="706" t="n">
        <v>0</v>
      </c>
      <c r="H165" s="706" t="inlineStr">
        <is>
          <t>3 Ply</t>
        </is>
      </c>
      <c r="I165" s="706" t="inlineStr">
        <is>
          <t>KRTB &amp; HSC</t>
        </is>
      </c>
      <c r="J165" s="706" t="inlineStr">
        <is>
          <t>&gt; 300 mm</t>
        </is>
      </c>
      <c r="K165" s="706" t="inlineStr">
        <is>
          <t>U</t>
        </is>
      </c>
      <c r="L165" s="300" t="n"/>
      <c r="M165" s="300" t="n"/>
      <c r="N165" s="301" t="n"/>
      <c r="O165" s="16" t="inlineStr">
        <is>
          <t>Semi Kraft</t>
        </is>
      </c>
      <c r="P165" s="17" t="n">
        <v>180</v>
      </c>
      <c r="Q165" s="17" t="n"/>
      <c r="R165" s="17" t="n"/>
      <c r="S165" s="455" t="n">
        <v>41</v>
      </c>
      <c r="T165" s="61">
        <f>ROUNDUP($T164,0)+0.2</f>
        <v/>
      </c>
      <c r="U165" s="61">
        <f>ROUNDUP($U164,0)+0.3</f>
        <v/>
      </c>
      <c r="V165" s="903">
        <f>((T165*U165*P165*1.45)/1550)/1000</f>
        <v/>
      </c>
      <c r="W165" s="903">
        <f>V165*S165</f>
        <v/>
      </c>
      <c r="X165" s="903">
        <f>(V165*3%)</f>
        <v/>
      </c>
      <c r="Y165" s="903">
        <f>X165*S165</f>
        <v/>
      </c>
      <c r="Z165" s="903">
        <f>W165+Y165</f>
        <v/>
      </c>
      <c r="AA165" s="903" t="n">
        <v>6.85</v>
      </c>
      <c r="AB165" s="903">
        <f>(V165+X165)*AA165</f>
        <v/>
      </c>
      <c r="AC165" s="650">
        <f>1/3</f>
        <v/>
      </c>
      <c r="AD165" s="650" t="n">
        <v>0</v>
      </c>
      <c r="AE165" s="650" t="n">
        <v>0</v>
      </c>
      <c r="AF165" s="650">
        <f>AB165+AC165+AD165+AE165</f>
        <v/>
      </c>
      <c r="AG165" s="650">
        <f>0.1/3</f>
        <v/>
      </c>
      <c r="AH165" s="650">
        <f>(Z165+AF165+AG165)*10%</f>
        <v/>
      </c>
      <c r="AI165" s="650" t="n">
        <v>0</v>
      </c>
      <c r="AJ165" s="864">
        <f>Z165+AF165+AG165+AH165-AI165</f>
        <v/>
      </c>
      <c r="AK165" s="505" t="inlineStr">
        <is>
          <t>ok</t>
        </is>
      </c>
    </row>
    <row r="166">
      <c r="A166" s="706" t="n">
        <v>53</v>
      </c>
      <c r="B166" s="299" t="n">
        <v>46266</v>
      </c>
      <c r="C166" s="706" t="inlineStr">
        <is>
          <t>SKE</t>
        </is>
      </c>
      <c r="D166" s="706" t="n"/>
      <c r="E166" s="1027" t="inlineStr">
        <is>
          <t>HSC Master Box Universal - 3 Ply &gt; 300 mm 640 GSM</t>
        </is>
      </c>
      <c r="F166" s="706" t="inlineStr">
        <is>
          <t>B</t>
        </is>
      </c>
      <c r="G166" s="706" t="n">
        <v>0</v>
      </c>
      <c r="H166" s="706" t="inlineStr">
        <is>
          <t>3 Ply</t>
        </is>
      </c>
      <c r="I166" s="706" t="inlineStr">
        <is>
          <t>KRTB &amp; HSC</t>
        </is>
      </c>
      <c r="J166" s="706" t="inlineStr">
        <is>
          <t>&gt; 300 mm</t>
        </is>
      </c>
      <c r="K166" s="706" t="inlineStr">
        <is>
          <t>U</t>
        </is>
      </c>
      <c r="L166" s="300" t="n"/>
      <c r="M166" s="300" t="n"/>
      <c r="N166" s="301" t="n"/>
      <c r="O166" s="16" t="inlineStr">
        <is>
          <t>Virgin Kraft</t>
        </is>
      </c>
      <c r="P166" s="17" t="n">
        <v>230</v>
      </c>
      <c r="Q166" s="17" t="n"/>
      <c r="R166" s="17" t="n"/>
      <c r="S166" s="455" t="n">
        <v>43</v>
      </c>
      <c r="T166" s="61">
        <f>T165</f>
        <v/>
      </c>
      <c r="U166" s="61">
        <f>U165</f>
        <v/>
      </c>
      <c r="V166" s="903">
        <f>((T166*U166*P166)/1550)/1000</f>
        <v/>
      </c>
      <c r="W166" s="903">
        <f>V166*S166</f>
        <v/>
      </c>
      <c r="X166" s="903">
        <f>(V166*3%)</f>
        <v/>
      </c>
      <c r="Y166" s="903">
        <f>X166*S166</f>
        <v/>
      </c>
      <c r="Z166" s="903">
        <f>W166+Y166</f>
        <v/>
      </c>
      <c r="AA166" s="903" t="n">
        <v>6.85</v>
      </c>
      <c r="AB166" s="903">
        <f>(V166+X166)*AA166</f>
        <v/>
      </c>
      <c r="AC166" s="650">
        <f>1/3</f>
        <v/>
      </c>
      <c r="AD166" s="650" t="n">
        <v>0</v>
      </c>
      <c r="AE166" s="650" t="n">
        <v>0</v>
      </c>
      <c r="AF166" s="650">
        <f>AB166+AC166+AD166+AE166</f>
        <v/>
      </c>
      <c r="AG166" s="650">
        <f>0.1/3</f>
        <v/>
      </c>
      <c r="AH166" s="650">
        <f>(Z166+AF166+AG166)*10%</f>
        <v/>
      </c>
      <c r="AI166" s="650" t="n">
        <v>0</v>
      </c>
      <c r="AJ166" s="864">
        <f>Z166+AF166+AG166+AH166-AI166</f>
        <v/>
      </c>
      <c r="AK166" s="505" t="n"/>
    </row>
    <row r="167" ht="15" customHeight="1">
      <c r="A167" s="706" t="n">
        <v>54</v>
      </c>
      <c r="B167" s="299" t="n">
        <v>46266</v>
      </c>
      <c r="C167" s="706" t="inlineStr">
        <is>
          <t>SKE</t>
        </is>
      </c>
      <c r="D167" s="706" t="n"/>
      <c r="E167" s="1027" t="inlineStr">
        <is>
          <t>HSC Master Box Universal - 5 Ply &gt; 300 mm 1050 GSM</t>
        </is>
      </c>
      <c r="F167" s="706" t="inlineStr">
        <is>
          <t>B</t>
        </is>
      </c>
      <c r="G167" s="706" t="n">
        <v>0</v>
      </c>
      <c r="H167" s="706" t="inlineStr">
        <is>
          <t>5 Ply</t>
        </is>
      </c>
      <c r="I167" s="706" t="inlineStr">
        <is>
          <t>KRTB &amp; HSC</t>
        </is>
      </c>
      <c r="J167" s="706" t="inlineStr">
        <is>
          <t>&gt; 300 mm</t>
        </is>
      </c>
      <c r="K167" s="706" t="inlineStr">
        <is>
          <t>U</t>
        </is>
      </c>
      <c r="L167" s="300" t="n">
        <v>100</v>
      </c>
      <c r="M167" s="300" t="n">
        <v>100</v>
      </c>
      <c r="N167" s="301" t="n">
        <v>100</v>
      </c>
      <c r="O167" s="16" t="inlineStr">
        <is>
          <t>Virgin Kraft</t>
        </is>
      </c>
      <c r="P167" s="17" t="n">
        <v>230</v>
      </c>
      <c r="Q167" s="17" t="n"/>
      <c r="R167" s="17" t="n"/>
      <c r="S167" s="455" t="n">
        <v>43</v>
      </c>
      <c r="T167" s="150">
        <f>((M167/2)+(N167+10))/25.4</f>
        <v/>
      </c>
      <c r="U167" s="150">
        <f>((L167+M167+55)*2)/25.4</f>
        <v/>
      </c>
      <c r="V167" s="903">
        <f>((T168*U168*P167)/1550)/1000</f>
        <v/>
      </c>
      <c r="W167" s="903">
        <f>V167*S167</f>
        <v/>
      </c>
      <c r="X167" s="903">
        <f>(V167*3%)</f>
        <v/>
      </c>
      <c r="Y167" s="903">
        <f>X167*S167</f>
        <v/>
      </c>
      <c r="Z167" s="903">
        <f>W167+Y167</f>
        <v/>
      </c>
      <c r="AA167" s="903" t="n">
        <v>6.85</v>
      </c>
      <c r="AB167" s="903">
        <f>(V167+X167)*AA167</f>
        <v/>
      </c>
      <c r="AC167" s="650">
        <f>1/3</f>
        <v/>
      </c>
      <c r="AD167" s="650" t="n">
        <v>0</v>
      </c>
      <c r="AE167" s="650" t="n">
        <v>0</v>
      </c>
      <c r="AF167" s="650">
        <f>AB167+AC167+AD167+AE167</f>
        <v/>
      </c>
      <c r="AG167" s="650">
        <f>0.1/3</f>
        <v/>
      </c>
      <c r="AH167" s="650">
        <f>(Z167+AF167+AG167)*10%</f>
        <v/>
      </c>
      <c r="AI167" s="650" t="n">
        <v>0</v>
      </c>
      <c r="AJ167" s="864">
        <f>Z167+AF167+AG167+AH167-AI167</f>
        <v/>
      </c>
      <c r="AK167" s="505">
        <f>AJ167+AJ168+AJ169</f>
        <v/>
      </c>
    </row>
    <row r="168">
      <c r="A168" s="706" t="n">
        <v>54</v>
      </c>
      <c r="B168" s="299" t="n">
        <v>46266</v>
      </c>
      <c r="C168" s="706" t="inlineStr">
        <is>
          <t>SKE</t>
        </is>
      </c>
      <c r="D168" s="706" t="n"/>
      <c r="E168" s="1027" t="inlineStr">
        <is>
          <t>HSC Master Box Universal - 5 Ply &gt; 300 mm 1050 GSM</t>
        </is>
      </c>
      <c r="F168" s="706" t="inlineStr">
        <is>
          <t>B</t>
        </is>
      </c>
      <c r="G168" s="706" t="n">
        <v>0</v>
      </c>
      <c r="H168" s="706" t="inlineStr">
        <is>
          <t>5 Ply</t>
        </is>
      </c>
      <c r="I168" s="706" t="inlineStr">
        <is>
          <t>KRTB &amp; HSC</t>
        </is>
      </c>
      <c r="J168" s="706" t="inlineStr">
        <is>
          <t>&gt; 300 mm</t>
        </is>
      </c>
      <c r="K168" s="706" t="inlineStr">
        <is>
          <t>U</t>
        </is>
      </c>
      <c r="L168" s="300" t="n"/>
      <c r="M168" s="300" t="n"/>
      <c r="N168" s="301" t="n"/>
      <c r="O168" s="16" t="inlineStr">
        <is>
          <t>Semi Kraft</t>
        </is>
      </c>
      <c r="P168" s="17" t="n">
        <v>180</v>
      </c>
      <c r="Q168" s="17" t="n"/>
      <c r="R168" s="17" t="n"/>
      <c r="S168" s="455" t="n">
        <v>41</v>
      </c>
      <c r="T168" s="61">
        <f>ROUNDUP($T167,0)+0.2</f>
        <v/>
      </c>
      <c r="U168" s="61">
        <f>ROUNDUP($U167,0)+0.3</f>
        <v/>
      </c>
      <c r="V168" s="903">
        <f>((T168*U168*P168*1.45)*2/1550)/1000</f>
        <v/>
      </c>
      <c r="W168" s="903">
        <f>V168*S168</f>
        <v/>
      </c>
      <c r="X168" s="903">
        <f>(V168*3%)</f>
        <v/>
      </c>
      <c r="Y168" s="903">
        <f>X168*S168</f>
        <v/>
      </c>
      <c r="Z168" s="903">
        <f>W168+Y168</f>
        <v/>
      </c>
      <c r="AA168" s="903" t="n">
        <v>6.85</v>
      </c>
      <c r="AB168" s="903">
        <f>(V168+X168)*AA168</f>
        <v/>
      </c>
      <c r="AC168" s="650">
        <f>1/3</f>
        <v/>
      </c>
      <c r="AD168" s="650" t="n">
        <v>0</v>
      </c>
      <c r="AE168" s="650" t="n">
        <v>0</v>
      </c>
      <c r="AF168" s="650">
        <f>AB168+AC168+AD168+AE168</f>
        <v/>
      </c>
      <c r="AG168" s="650">
        <f>0.1/3</f>
        <v/>
      </c>
      <c r="AH168" s="650">
        <f>(Z168+AF168+AG168)*10%</f>
        <v/>
      </c>
      <c r="AI168" s="650" t="n">
        <v>0</v>
      </c>
      <c r="AJ168" s="864">
        <f>Z168+AF168+AG168+AH168-AI168</f>
        <v/>
      </c>
      <c r="AK168" s="505" t="inlineStr">
        <is>
          <t>ok</t>
        </is>
      </c>
    </row>
    <row r="169">
      <c r="A169" s="706" t="n">
        <v>54</v>
      </c>
      <c r="B169" s="299" t="n">
        <v>46266</v>
      </c>
      <c r="C169" s="706" t="inlineStr">
        <is>
          <t>SKE</t>
        </is>
      </c>
      <c r="D169" s="706" t="n"/>
      <c r="E169" s="1027" t="inlineStr">
        <is>
          <t>HSC Master Box Universal - 5 Ply &gt; 300 mm 1050 GSM</t>
        </is>
      </c>
      <c r="F169" s="706" t="inlineStr">
        <is>
          <t>B</t>
        </is>
      </c>
      <c r="G169" s="706" t="n">
        <v>0</v>
      </c>
      <c r="H169" s="706" t="inlineStr">
        <is>
          <t>5 Ply</t>
        </is>
      </c>
      <c r="I169" s="706" t="inlineStr">
        <is>
          <t>KRTB &amp; HSC</t>
        </is>
      </c>
      <c r="J169" s="706" t="inlineStr">
        <is>
          <t>&gt; 300 mm</t>
        </is>
      </c>
      <c r="K169" s="706" t="inlineStr">
        <is>
          <t>U</t>
        </is>
      </c>
      <c r="L169" s="300" t="n"/>
      <c r="M169" s="300" t="n"/>
      <c r="N169" s="301" t="n"/>
      <c r="O169" s="16" t="inlineStr">
        <is>
          <t>Virgin Kraft</t>
        </is>
      </c>
      <c r="P169" s="17" t="n">
        <v>230</v>
      </c>
      <c r="Q169" s="17" t="n"/>
      <c r="R169" s="17" t="n"/>
      <c r="S169" s="455" t="n">
        <v>43</v>
      </c>
      <c r="T169" s="61">
        <f>T168</f>
        <v/>
      </c>
      <c r="U169" s="61">
        <f>U168</f>
        <v/>
      </c>
      <c r="V169" s="903">
        <f>((T169*U169*P169)/1550)*2/1000</f>
        <v/>
      </c>
      <c r="W169" s="903">
        <f>V169*S169</f>
        <v/>
      </c>
      <c r="X169" s="903">
        <f>(V169*3%)</f>
        <v/>
      </c>
      <c r="Y169" s="903">
        <f>X169*S169</f>
        <v/>
      </c>
      <c r="Z169" s="903">
        <f>W169+Y169</f>
        <v/>
      </c>
      <c r="AA169" s="903" t="n">
        <v>6.85</v>
      </c>
      <c r="AB169" s="903">
        <f>(V169+X169)*AA169</f>
        <v/>
      </c>
      <c r="AC169" s="650">
        <f>1/3</f>
        <v/>
      </c>
      <c r="AD169" s="650" t="n">
        <v>0</v>
      </c>
      <c r="AE169" s="650" t="n">
        <v>0</v>
      </c>
      <c r="AF169" s="650">
        <f>AB169+AC169+AD169+AE169</f>
        <v/>
      </c>
      <c r="AG169" s="650">
        <f>0.1/3</f>
        <v/>
      </c>
      <c r="AH169" s="650">
        <f>(Z169+AF169+AG169)*10%</f>
        <v/>
      </c>
      <c r="AI169" s="650" t="n">
        <v>0</v>
      </c>
      <c r="AJ169" s="864">
        <f>Z169+AF169+AG169+AH169-AI169</f>
        <v/>
      </c>
      <c r="AK169" s="505" t="n"/>
    </row>
    <row r="170" ht="15" customHeight="1">
      <c r="A170" s="706" t="n">
        <v>55</v>
      </c>
      <c r="B170" s="299" t="n">
        <v>46266</v>
      </c>
      <c r="C170" s="706" t="inlineStr">
        <is>
          <t>SKE</t>
        </is>
      </c>
      <c r="D170" s="706" t="n"/>
      <c r="E170" s="1027" t="inlineStr">
        <is>
          <t>HSC Master Box Universal - 3 Ply &gt; 300 mm 640 GSM</t>
        </is>
      </c>
      <c r="F170" s="706" t="inlineStr">
        <is>
          <t>B</t>
        </is>
      </c>
      <c r="G170" s="706" t="n">
        <v>0</v>
      </c>
      <c r="H170" s="706" t="inlineStr">
        <is>
          <t>3 Ply</t>
        </is>
      </c>
      <c r="I170" s="706" t="inlineStr">
        <is>
          <t>KEL &amp; HSC</t>
        </is>
      </c>
      <c r="J170" s="706" t="inlineStr">
        <is>
          <t>&gt; 300 mm</t>
        </is>
      </c>
      <c r="K170" s="706" t="inlineStr">
        <is>
          <t>U</t>
        </is>
      </c>
      <c r="L170" s="300" t="n">
        <v>100</v>
      </c>
      <c r="M170" s="300" t="n">
        <v>100</v>
      </c>
      <c r="N170" s="301" t="n">
        <v>100</v>
      </c>
      <c r="O170" s="16" t="inlineStr">
        <is>
          <t>Virgin Kraft</t>
        </is>
      </c>
      <c r="P170" s="17" t="n">
        <v>230</v>
      </c>
      <c r="Q170" s="17" t="n"/>
      <c r="R170" s="17" t="n"/>
      <c r="S170" s="455" t="n">
        <v>43</v>
      </c>
      <c r="T170" s="150">
        <f>((M170/2)+(N170+10))/25.4</f>
        <v/>
      </c>
      <c r="U170" s="150">
        <f>((L170+M170+55)*2)/25.4</f>
        <v/>
      </c>
      <c r="V170" s="903">
        <f>((T171*U171*P170)/1550)/1000</f>
        <v/>
      </c>
      <c r="W170" s="903">
        <f>V170*S170</f>
        <v/>
      </c>
      <c r="X170" s="903">
        <f>(V170*3%)</f>
        <v/>
      </c>
      <c r="Y170" s="903">
        <f>X170*S170</f>
        <v/>
      </c>
      <c r="Z170" s="903">
        <f>W170+Y170</f>
        <v/>
      </c>
      <c r="AA170" s="903" t="n">
        <v>6.85</v>
      </c>
      <c r="AB170" s="903">
        <f>(V170+X170)*AA170</f>
        <v/>
      </c>
      <c r="AC170" s="650">
        <f>1/3</f>
        <v/>
      </c>
      <c r="AD170" s="650" t="n">
        <v>0</v>
      </c>
      <c r="AE170" s="650" t="n">
        <v>0</v>
      </c>
      <c r="AF170" s="650">
        <f>AB170+AC170+AD170+AE170</f>
        <v/>
      </c>
      <c r="AG170" s="650">
        <f>0.1/3</f>
        <v/>
      </c>
      <c r="AH170" s="650">
        <f>(Z170+AF170+AG170)*10%</f>
        <v/>
      </c>
      <c r="AI170" s="650" t="n">
        <v>0</v>
      </c>
      <c r="AJ170" s="864">
        <f>Z170+AF170+AG170+AH170-AI170</f>
        <v/>
      </c>
      <c r="AK170" s="505">
        <f>AJ170+AJ171+AJ172</f>
        <v/>
      </c>
    </row>
    <row r="171">
      <c r="A171" s="706" t="n">
        <v>55</v>
      </c>
      <c r="B171" s="299" t="n">
        <v>46266</v>
      </c>
      <c r="C171" s="706" t="inlineStr">
        <is>
          <t>SKE</t>
        </is>
      </c>
      <c r="D171" s="706" t="n"/>
      <c r="E171" s="1027" t="inlineStr">
        <is>
          <t>HSC Master Box Universal - 3 Ply &gt; 300 mm 640 GSM</t>
        </is>
      </c>
      <c r="F171" s="706" t="inlineStr">
        <is>
          <t>B</t>
        </is>
      </c>
      <c r="G171" s="706" t="n">
        <v>0</v>
      </c>
      <c r="H171" s="706" t="inlineStr">
        <is>
          <t>3 Ply</t>
        </is>
      </c>
      <c r="I171" s="706" t="inlineStr">
        <is>
          <t>KEL &amp; HSC</t>
        </is>
      </c>
      <c r="J171" s="706" t="inlineStr">
        <is>
          <t>&gt; 300 mm</t>
        </is>
      </c>
      <c r="K171" s="706" t="inlineStr">
        <is>
          <t>U</t>
        </is>
      </c>
      <c r="L171" s="300" t="n"/>
      <c r="M171" s="300" t="n"/>
      <c r="N171" s="301" t="n"/>
      <c r="O171" s="16" t="inlineStr">
        <is>
          <t>Semi Kraft</t>
        </is>
      </c>
      <c r="P171" s="17" t="n">
        <v>180</v>
      </c>
      <c r="Q171" s="17" t="n"/>
      <c r="R171" s="17" t="n"/>
      <c r="S171" s="455" t="n">
        <v>41</v>
      </c>
      <c r="T171" s="61">
        <f>ROUNDUP($T170,0)+0.2</f>
        <v/>
      </c>
      <c r="U171" s="61">
        <f>ROUNDUP($U170,0)+0.3</f>
        <v/>
      </c>
      <c r="V171" s="903">
        <f>((T171*U171*P171*1.45)/1550)/1000</f>
        <v/>
      </c>
      <c r="W171" s="903">
        <f>V171*S171</f>
        <v/>
      </c>
      <c r="X171" s="903">
        <f>(V171*3%)</f>
        <v/>
      </c>
      <c r="Y171" s="903">
        <f>X171*S171</f>
        <v/>
      </c>
      <c r="Z171" s="903">
        <f>W171+Y171</f>
        <v/>
      </c>
      <c r="AA171" s="903" t="n">
        <v>6.85</v>
      </c>
      <c r="AB171" s="903">
        <f>(V171+X171)*AA171</f>
        <v/>
      </c>
      <c r="AC171" s="650">
        <f>1/3</f>
        <v/>
      </c>
      <c r="AD171" s="650" t="n">
        <v>0</v>
      </c>
      <c r="AE171" s="650" t="n">
        <v>0</v>
      </c>
      <c r="AF171" s="650">
        <f>AB171+AC171+AD171+AE171</f>
        <v/>
      </c>
      <c r="AG171" s="650">
        <f>0.1/3</f>
        <v/>
      </c>
      <c r="AH171" s="650">
        <f>(Z171+AF171+AG171)*10%</f>
        <v/>
      </c>
      <c r="AI171" s="650" t="n">
        <v>0</v>
      </c>
      <c r="AJ171" s="864">
        <f>Z171+AF171+AG171+AH171-AI171</f>
        <v/>
      </c>
      <c r="AK171" s="505" t="inlineStr">
        <is>
          <t>ok</t>
        </is>
      </c>
    </row>
    <row r="172">
      <c r="A172" s="706" t="n">
        <v>55</v>
      </c>
      <c r="B172" s="299" t="n">
        <v>46266</v>
      </c>
      <c r="C172" s="706" t="inlineStr">
        <is>
          <t>SKE</t>
        </is>
      </c>
      <c r="D172" s="706" t="n"/>
      <c r="E172" s="1027" t="inlineStr">
        <is>
          <t>HSC Master Box Universal - 3 Ply &gt; 300 mm 640 GSM</t>
        </is>
      </c>
      <c r="F172" s="706" t="inlineStr">
        <is>
          <t>B</t>
        </is>
      </c>
      <c r="G172" s="706" t="n">
        <v>0</v>
      </c>
      <c r="H172" s="706" t="inlineStr">
        <is>
          <t>3 Ply</t>
        </is>
      </c>
      <c r="I172" s="706" t="inlineStr">
        <is>
          <t>KEL &amp; HSC</t>
        </is>
      </c>
      <c r="J172" s="706" t="inlineStr">
        <is>
          <t>&gt; 300 mm</t>
        </is>
      </c>
      <c r="K172" s="706" t="inlineStr">
        <is>
          <t>U</t>
        </is>
      </c>
      <c r="L172" s="300" t="n"/>
      <c r="M172" s="300" t="n"/>
      <c r="N172" s="301" t="n"/>
      <c r="O172" s="16" t="inlineStr">
        <is>
          <t>Virgin Kraft</t>
        </is>
      </c>
      <c r="P172" s="17" t="n">
        <v>230</v>
      </c>
      <c r="Q172" s="17" t="n"/>
      <c r="R172" s="17" t="n"/>
      <c r="S172" s="455" t="n">
        <v>43</v>
      </c>
      <c r="T172" s="61">
        <f>T171</f>
        <v/>
      </c>
      <c r="U172" s="61">
        <f>U171</f>
        <v/>
      </c>
      <c r="V172" s="903">
        <f>((T172*U172*P172)/1550)/1000</f>
        <v/>
      </c>
      <c r="W172" s="903">
        <f>V172*S172</f>
        <v/>
      </c>
      <c r="X172" s="903">
        <f>(V172*3%)</f>
        <v/>
      </c>
      <c r="Y172" s="903">
        <f>X172*S172</f>
        <v/>
      </c>
      <c r="Z172" s="903">
        <f>W172+Y172</f>
        <v/>
      </c>
      <c r="AA172" s="903" t="n">
        <v>6.85</v>
      </c>
      <c r="AB172" s="903">
        <f>(V172+X172)*AA172</f>
        <v/>
      </c>
      <c r="AC172" s="650">
        <f>1/3</f>
        <v/>
      </c>
      <c r="AD172" s="650" t="n">
        <v>0</v>
      </c>
      <c r="AE172" s="650" t="n">
        <v>0</v>
      </c>
      <c r="AF172" s="650">
        <f>AB172+AC172+AD172+AE172</f>
        <v/>
      </c>
      <c r="AG172" s="650">
        <f>0.1/3</f>
        <v/>
      </c>
      <c r="AH172" s="650">
        <f>(Z172+AF172+AG172)*10%</f>
        <v/>
      </c>
      <c r="AI172" s="650" t="n">
        <v>0</v>
      </c>
      <c r="AJ172" s="864">
        <f>Z172+AF172+AG172+AH172-AI172</f>
        <v/>
      </c>
      <c r="AK172" s="505" t="n"/>
    </row>
    <row r="173" ht="15" customHeight="1">
      <c r="A173" s="706" t="n">
        <v>56</v>
      </c>
      <c r="B173" s="299" t="n">
        <v>46266</v>
      </c>
      <c r="C173" s="706" t="inlineStr">
        <is>
          <t>SKE</t>
        </is>
      </c>
      <c r="D173" s="706" t="n"/>
      <c r="E173" s="1027" t="inlineStr">
        <is>
          <t>HSC Master Box Universal - 5 Ply &gt; 300 mm 1050 GSM</t>
        </is>
      </c>
      <c r="F173" s="706" t="inlineStr">
        <is>
          <t>B</t>
        </is>
      </c>
      <c r="G173" s="706" t="n">
        <v>0</v>
      </c>
      <c r="H173" s="706" t="inlineStr">
        <is>
          <t>5 Ply</t>
        </is>
      </c>
      <c r="I173" s="706" t="inlineStr">
        <is>
          <t>KEL &amp; HSC</t>
        </is>
      </c>
      <c r="J173" s="706" t="inlineStr">
        <is>
          <t>&gt; 300 mm</t>
        </is>
      </c>
      <c r="K173" s="706" t="inlineStr">
        <is>
          <t>U</t>
        </is>
      </c>
      <c r="L173" s="300" t="n">
        <v>100</v>
      </c>
      <c r="M173" s="300" t="n">
        <v>100</v>
      </c>
      <c r="N173" s="301" t="n">
        <v>100</v>
      </c>
      <c r="O173" s="16" t="inlineStr">
        <is>
          <t>Virgin Kraft</t>
        </is>
      </c>
      <c r="P173" s="17" t="n">
        <v>230</v>
      </c>
      <c r="Q173" s="17" t="n"/>
      <c r="R173" s="17" t="n"/>
      <c r="S173" s="455" t="n">
        <v>43</v>
      </c>
      <c r="T173" s="150">
        <f>((M173/2)+(N173+10))/25.4</f>
        <v/>
      </c>
      <c r="U173" s="150">
        <f>((L173+M173+55)*2)/25.4</f>
        <v/>
      </c>
      <c r="V173" s="903">
        <f>((T174*U174*P173)/1550)/1000</f>
        <v/>
      </c>
      <c r="W173" s="903">
        <f>V173*S173</f>
        <v/>
      </c>
      <c r="X173" s="903">
        <f>(V173*3%)</f>
        <v/>
      </c>
      <c r="Y173" s="903">
        <f>X173*S173</f>
        <v/>
      </c>
      <c r="Z173" s="903">
        <f>W173+Y173</f>
        <v/>
      </c>
      <c r="AA173" s="903" t="n">
        <v>6.85</v>
      </c>
      <c r="AB173" s="903">
        <f>(V173+X173)*AA173</f>
        <v/>
      </c>
      <c r="AC173" s="650">
        <f>1/3</f>
        <v/>
      </c>
      <c r="AD173" s="650" t="n">
        <v>0</v>
      </c>
      <c r="AE173" s="650" t="n">
        <v>0</v>
      </c>
      <c r="AF173" s="650">
        <f>AB173+AC173+AD173+AE173</f>
        <v/>
      </c>
      <c r="AG173" s="650">
        <f>0.1/3</f>
        <v/>
      </c>
      <c r="AH173" s="650">
        <f>(Z173+AF173+AG173)*10%</f>
        <v/>
      </c>
      <c r="AI173" s="650" t="n">
        <v>0</v>
      </c>
      <c r="AJ173" s="864">
        <f>Z173+AF173+AG173+AH173-AI173</f>
        <v/>
      </c>
      <c r="AK173" s="505">
        <f>AJ173+AJ174+AJ175</f>
        <v/>
      </c>
    </row>
    <row r="174">
      <c r="A174" s="706" t="n">
        <v>56</v>
      </c>
      <c r="B174" s="299" t="n">
        <v>46266</v>
      </c>
      <c r="C174" s="706" t="inlineStr">
        <is>
          <t>SKE</t>
        </is>
      </c>
      <c r="D174" s="706" t="n"/>
      <c r="E174" s="1027" t="inlineStr">
        <is>
          <t>HSC Master Box Universal - 5 Ply &gt; 300 mm 1050 GSM</t>
        </is>
      </c>
      <c r="F174" s="706" t="inlineStr">
        <is>
          <t>B</t>
        </is>
      </c>
      <c r="G174" s="706" t="n">
        <v>0</v>
      </c>
      <c r="H174" s="706" t="inlineStr">
        <is>
          <t>5 Ply</t>
        </is>
      </c>
      <c r="I174" s="706" t="inlineStr">
        <is>
          <t>KEL &amp; HSC</t>
        </is>
      </c>
      <c r="J174" s="706" t="inlineStr">
        <is>
          <t>&gt; 300 mm</t>
        </is>
      </c>
      <c r="K174" s="706" t="inlineStr">
        <is>
          <t>U</t>
        </is>
      </c>
      <c r="L174" s="300" t="n"/>
      <c r="M174" s="300" t="n"/>
      <c r="N174" s="301" t="n"/>
      <c r="O174" s="16" t="inlineStr">
        <is>
          <t>Semi Kraft</t>
        </is>
      </c>
      <c r="P174" s="17" t="n">
        <v>180</v>
      </c>
      <c r="Q174" s="17" t="n"/>
      <c r="R174" s="17" t="n"/>
      <c r="S174" s="455" t="n">
        <v>41</v>
      </c>
      <c r="T174" s="61">
        <f>ROUNDUP($T173,0)+0.2</f>
        <v/>
      </c>
      <c r="U174" s="61">
        <f>ROUNDUP($U173,0)+0.3</f>
        <v/>
      </c>
      <c r="V174" s="903">
        <f>((T174*U174*P174*1.45)*2/1550)/1000</f>
        <v/>
      </c>
      <c r="W174" s="903">
        <f>V174*S174</f>
        <v/>
      </c>
      <c r="X174" s="903">
        <f>(V174*3%)</f>
        <v/>
      </c>
      <c r="Y174" s="903">
        <f>X174*S174</f>
        <v/>
      </c>
      <c r="Z174" s="903">
        <f>W174+Y174</f>
        <v/>
      </c>
      <c r="AA174" s="903" t="n">
        <v>6.85</v>
      </c>
      <c r="AB174" s="903">
        <f>(V174+X174)*AA174</f>
        <v/>
      </c>
      <c r="AC174" s="650">
        <f>1/3</f>
        <v/>
      </c>
      <c r="AD174" s="650" t="n">
        <v>0</v>
      </c>
      <c r="AE174" s="650" t="n">
        <v>0</v>
      </c>
      <c r="AF174" s="650">
        <f>AB174+AC174+AD174+AE174</f>
        <v/>
      </c>
      <c r="AG174" s="650">
        <f>0.1/3</f>
        <v/>
      </c>
      <c r="AH174" s="650">
        <f>(Z174+AF174+AG174)*10%</f>
        <v/>
      </c>
      <c r="AI174" s="650" t="n">
        <v>0</v>
      </c>
      <c r="AJ174" s="864">
        <f>Z174+AF174+AG174+AH174-AI174</f>
        <v/>
      </c>
      <c r="AK174" s="505" t="inlineStr">
        <is>
          <t>ok</t>
        </is>
      </c>
    </row>
    <row r="175">
      <c r="A175" s="706" t="n">
        <v>56</v>
      </c>
      <c r="B175" s="299" t="n">
        <v>46266</v>
      </c>
      <c r="C175" s="706" t="inlineStr">
        <is>
          <t>SKE</t>
        </is>
      </c>
      <c r="D175" s="706" t="n"/>
      <c r="E175" s="1027" t="inlineStr">
        <is>
          <t>HSC Master Box Universal - 5 Ply &gt; 300 mm 1050 GSM</t>
        </is>
      </c>
      <c r="F175" s="706" t="inlineStr">
        <is>
          <t>B</t>
        </is>
      </c>
      <c r="G175" s="706" t="n">
        <v>0</v>
      </c>
      <c r="H175" s="706" t="inlineStr">
        <is>
          <t>5 Ply</t>
        </is>
      </c>
      <c r="I175" s="706" t="inlineStr">
        <is>
          <t>KEL &amp; HSC</t>
        </is>
      </c>
      <c r="J175" s="706" t="inlineStr">
        <is>
          <t>&gt; 300 mm</t>
        </is>
      </c>
      <c r="K175" s="706" t="inlineStr">
        <is>
          <t>U</t>
        </is>
      </c>
      <c r="L175" s="300" t="n"/>
      <c r="M175" s="300" t="n"/>
      <c r="N175" s="301" t="n"/>
      <c r="O175" s="16" t="inlineStr">
        <is>
          <t>Virgin Kraft</t>
        </is>
      </c>
      <c r="P175" s="17" t="n">
        <v>230</v>
      </c>
      <c r="Q175" s="17" t="n"/>
      <c r="R175" s="17" t="n"/>
      <c r="S175" s="455" t="n">
        <v>43</v>
      </c>
      <c r="T175" s="61">
        <f>T174</f>
        <v/>
      </c>
      <c r="U175" s="61">
        <f>U174</f>
        <v/>
      </c>
      <c r="V175" s="903">
        <f>((T175*U175*P175)/1550)*2/1000</f>
        <v/>
      </c>
      <c r="W175" s="903">
        <f>V175*S175</f>
        <v/>
      </c>
      <c r="X175" s="903">
        <f>(V175*3%)</f>
        <v/>
      </c>
      <c r="Y175" s="903">
        <f>X175*S175</f>
        <v/>
      </c>
      <c r="Z175" s="903">
        <f>W175+Y175</f>
        <v/>
      </c>
      <c r="AA175" s="903" t="n">
        <v>6.85</v>
      </c>
      <c r="AB175" s="903">
        <f>(V175+X175)*AA175</f>
        <v/>
      </c>
      <c r="AC175" s="650">
        <f>1/3</f>
        <v/>
      </c>
      <c r="AD175" s="650" t="n">
        <v>0</v>
      </c>
      <c r="AE175" s="650" t="n">
        <v>0</v>
      </c>
      <c r="AF175" s="650">
        <f>AB175+AC175+AD175+AE175</f>
        <v/>
      </c>
      <c r="AG175" s="650">
        <f>0.1/3</f>
        <v/>
      </c>
      <c r="AH175" s="650">
        <f>(Z175+AF175+AG175)*10%</f>
        <v/>
      </c>
      <c r="AI175" s="650" t="n">
        <v>0</v>
      </c>
      <c r="AJ175" s="864">
        <f>Z175+AF175+AG175+AH175-AI175</f>
        <v/>
      </c>
      <c r="AK175" s="505" t="n"/>
    </row>
    <row r="176">
      <c r="A176" s="706" t="n">
        <v>57</v>
      </c>
      <c r="B176" s="299" t="n">
        <v>46266</v>
      </c>
      <c r="C176" s="706" t="inlineStr">
        <is>
          <t>SKE</t>
        </is>
      </c>
      <c r="D176" s="706" t="n"/>
      <c r="E176" s="1026" t="inlineStr">
        <is>
          <t>INLAY 2D- 2 Ply</t>
        </is>
      </c>
      <c r="F176" s="706" t="inlineStr">
        <is>
          <t>B</t>
        </is>
      </c>
      <c r="G176" s="706" t="n">
        <v>0</v>
      </c>
      <c r="H176" s="706" t="inlineStr">
        <is>
          <t>2 Ply</t>
        </is>
      </c>
      <c r="I176" s="706" t="inlineStr">
        <is>
          <t>FULL</t>
        </is>
      </c>
      <c r="J176" s="706" t="n"/>
      <c r="K176" s="706" t="inlineStr">
        <is>
          <t>Inlay</t>
        </is>
      </c>
      <c r="L176" s="300" t="n">
        <v>100</v>
      </c>
      <c r="M176" s="300" t="n">
        <v>100</v>
      </c>
      <c r="N176" s="309" t="n"/>
      <c r="O176" s="16" t="inlineStr">
        <is>
          <t>Semi Kraft</t>
        </is>
      </c>
      <c r="P176" s="17" t="n">
        <v>120</v>
      </c>
      <c r="Q176" s="17" t="n"/>
      <c r="R176" s="17" t="n"/>
      <c r="S176" s="455" t="n">
        <v>41</v>
      </c>
      <c r="T176" s="150">
        <f>(M176+15)/25.4</f>
        <v/>
      </c>
      <c r="U176" s="150">
        <f>(L176+15)/25.4</f>
        <v/>
      </c>
      <c r="V176" s="903">
        <f>((T177*U177*P176)/1550)/1000</f>
        <v/>
      </c>
      <c r="W176" s="903">
        <f>V176*S176</f>
        <v/>
      </c>
      <c r="X176" s="903">
        <f>(V176*3%)</f>
        <v/>
      </c>
      <c r="Y176" s="903">
        <f>X176*S176</f>
        <v/>
      </c>
      <c r="Z176" s="903">
        <f>W176+Y176</f>
        <v/>
      </c>
      <c r="AA176" s="903" t="n">
        <v>6.85</v>
      </c>
      <c r="AB176" s="903">
        <f>(V176+X176)*AA176</f>
        <v/>
      </c>
      <c r="AC176" s="650">
        <f>0.5/2</f>
        <v/>
      </c>
      <c r="AD176" s="650" t="n">
        <v>0</v>
      </c>
      <c r="AE176" s="650" t="n">
        <v>0</v>
      </c>
      <c r="AF176" s="650">
        <f>AB176+AC176+AD176+AE176</f>
        <v/>
      </c>
      <c r="AG176" s="650">
        <f>0.1/2</f>
        <v/>
      </c>
      <c r="AH176" s="650">
        <f>(Z176+AF176+AG176)*10%</f>
        <v/>
      </c>
      <c r="AI176" s="650" t="n">
        <v>0</v>
      </c>
      <c r="AJ176" s="864">
        <f>Z176+AF176+AG176+AH176-AI176</f>
        <v/>
      </c>
      <c r="AK176" s="505">
        <f>AJ176+AJ177+AJ178</f>
        <v/>
      </c>
    </row>
    <row r="177">
      <c r="A177" s="706" t="n">
        <v>57</v>
      </c>
      <c r="B177" s="299" t="n">
        <v>46266</v>
      </c>
      <c r="C177" s="706" t="inlineStr">
        <is>
          <t>SKE</t>
        </is>
      </c>
      <c r="D177" s="706" t="n"/>
      <c r="E177" s="1026" t="inlineStr">
        <is>
          <t>INLAY 2D- 2 Ply</t>
        </is>
      </c>
      <c r="F177" s="706" t="inlineStr">
        <is>
          <t>B</t>
        </is>
      </c>
      <c r="G177" s="706" t="n">
        <v>0</v>
      </c>
      <c r="H177" s="706" t="inlineStr">
        <is>
          <t>2 Ply</t>
        </is>
      </c>
      <c r="I177" s="706" t="inlineStr">
        <is>
          <t>FULL</t>
        </is>
      </c>
      <c r="J177" s="706" t="n"/>
      <c r="K177" s="706" t="inlineStr">
        <is>
          <t>Inlay</t>
        </is>
      </c>
      <c r="L177" s="300" t="n"/>
      <c r="M177" s="300" t="n"/>
      <c r="N177" s="309" t="n"/>
      <c r="O177" s="16" t="inlineStr">
        <is>
          <t>Semi Kraft</t>
        </is>
      </c>
      <c r="P177" s="17" t="n">
        <v>120</v>
      </c>
      <c r="Q177" s="17" t="n"/>
      <c r="R177" s="17" t="n"/>
      <c r="S177" s="455" t="n">
        <v>41</v>
      </c>
      <c r="T177" s="61">
        <f>ROUNDUP($T176,0)+0.2</f>
        <v/>
      </c>
      <c r="U177" s="61">
        <f>ROUNDUP($U176,0)+0.3</f>
        <v/>
      </c>
      <c r="V177" s="903">
        <f>((T177*U177*P177*1.45)/1550)/1000</f>
        <v/>
      </c>
      <c r="W177" s="903">
        <f>V177*S177</f>
        <v/>
      </c>
      <c r="X177" s="903">
        <f>(V177*3%)</f>
        <v/>
      </c>
      <c r="Y177" s="903">
        <f>X177*S177</f>
        <v/>
      </c>
      <c r="Z177" s="903">
        <f>W177+Y177</f>
        <v/>
      </c>
      <c r="AA177" s="903" t="n">
        <v>6.85</v>
      </c>
      <c r="AB177" s="903">
        <f>(V177+X177)*AA177</f>
        <v/>
      </c>
      <c r="AC177" s="650">
        <f>0.5/2</f>
        <v/>
      </c>
      <c r="AD177" s="650" t="n">
        <v>0</v>
      </c>
      <c r="AE177" s="650" t="n">
        <v>0</v>
      </c>
      <c r="AF177" s="650">
        <f>AB177+AC177+AD177+AE177</f>
        <v/>
      </c>
      <c r="AG177" s="650">
        <f>0.1/2</f>
        <v/>
      </c>
      <c r="AH177" s="650">
        <f>(Z177+AF177+AG177)*10%</f>
        <v/>
      </c>
      <c r="AI177" s="650" t="n">
        <v>0</v>
      </c>
      <c r="AJ177" s="864">
        <f>Z177+AF177+AG177+AH177-AI177</f>
        <v/>
      </c>
      <c r="AK177" s="505" t="inlineStr">
        <is>
          <t>ok</t>
        </is>
      </c>
    </row>
    <row r="178">
      <c r="A178" s="706" t="n">
        <v>57</v>
      </c>
      <c r="B178" s="299" t="n">
        <v>46266</v>
      </c>
      <c r="C178" s="706" t="inlineStr">
        <is>
          <t>SKE</t>
        </is>
      </c>
      <c r="D178" s="706" t="n"/>
      <c r="E178" s="1026" t="inlineStr">
        <is>
          <t>INLAY 2D- 2 Ply</t>
        </is>
      </c>
      <c r="F178" s="706" t="inlineStr">
        <is>
          <t>B</t>
        </is>
      </c>
      <c r="G178" s="706" t="n">
        <v>0</v>
      </c>
      <c r="H178" s="706" t="inlineStr">
        <is>
          <t>2 Ply</t>
        </is>
      </c>
      <c r="I178" s="706" t="inlineStr">
        <is>
          <t>FULL</t>
        </is>
      </c>
      <c r="J178" s="706" t="n"/>
      <c r="K178" s="706" t="inlineStr">
        <is>
          <t>Inlay</t>
        </is>
      </c>
      <c r="L178" s="300" t="n"/>
      <c r="M178" s="300" t="n"/>
      <c r="N178" s="309" t="n"/>
      <c r="O178" s="16" t="n"/>
      <c r="P178" s="17" t="n"/>
      <c r="Q178" s="17" t="n"/>
      <c r="R178" s="17" t="n"/>
      <c r="S178" s="702" t="n"/>
      <c r="T178" s="17" t="n">
        <v>0</v>
      </c>
      <c r="U178" s="17" t="n">
        <v>0</v>
      </c>
      <c r="V178" s="17">
        <f>((T178*U178*P178)/1550)/1000</f>
        <v/>
      </c>
      <c r="W178" s="903">
        <f>V178*S178</f>
        <v/>
      </c>
      <c r="X178" s="903">
        <f>(V178*3%)</f>
        <v/>
      </c>
      <c r="Y178" s="903">
        <f>X178*S178</f>
        <v/>
      </c>
      <c r="Z178" s="903">
        <f>W178+Y178</f>
        <v/>
      </c>
      <c r="AA178" s="17" t="n">
        <v>0</v>
      </c>
      <c r="AB178" s="903">
        <f>(V178+X178)*AA178</f>
        <v/>
      </c>
      <c r="AC178" s="17" t="n">
        <v>0</v>
      </c>
      <c r="AD178" s="650" t="n">
        <v>0</v>
      </c>
      <c r="AE178" s="650" t="n">
        <v>0</v>
      </c>
      <c r="AF178" s="650">
        <f>AB178+AC178+AD178+AE178</f>
        <v/>
      </c>
      <c r="AG178" s="650" t="n">
        <v>0</v>
      </c>
      <c r="AH178" s="650">
        <f>(Z178+AF178+AG178)*10%</f>
        <v/>
      </c>
      <c r="AI178" s="650" t="n">
        <v>0</v>
      </c>
      <c r="AJ178" s="864">
        <f>Z178+AF178+AG178+AH178-AI178</f>
        <v/>
      </c>
      <c r="AK178" s="505" t="n"/>
    </row>
    <row r="179">
      <c r="A179" s="706" t="n">
        <v>58</v>
      </c>
      <c r="B179" s="299" t="n">
        <v>46266</v>
      </c>
      <c r="C179" s="706" t="inlineStr">
        <is>
          <t>SKE</t>
        </is>
      </c>
      <c r="D179" s="706" t="n"/>
      <c r="E179" s="1026" t="inlineStr">
        <is>
          <t>INLAY 2D - 2 Ply A-Flute</t>
        </is>
      </c>
      <c r="F179" s="706" t="inlineStr">
        <is>
          <t>A</t>
        </is>
      </c>
      <c r="G179" s="706" t="n">
        <v>0</v>
      </c>
      <c r="H179" s="706" t="inlineStr">
        <is>
          <t>2 Ply</t>
        </is>
      </c>
      <c r="I179" s="706" t="inlineStr">
        <is>
          <t>FULL</t>
        </is>
      </c>
      <c r="J179" s="706" t="n"/>
      <c r="K179" s="706" t="inlineStr">
        <is>
          <t>Inlay</t>
        </is>
      </c>
      <c r="L179" s="300" t="n">
        <v>100</v>
      </c>
      <c r="M179" s="300" t="n">
        <v>100</v>
      </c>
      <c r="N179" s="513" t="n"/>
      <c r="O179" s="717" t="inlineStr">
        <is>
          <t>Semi Kraft</t>
        </is>
      </c>
      <c r="P179" s="702" t="n">
        <v>120</v>
      </c>
      <c r="Q179" s="702" t="n"/>
      <c r="R179" s="702" t="n"/>
      <c r="S179" s="455" t="n">
        <v>41</v>
      </c>
      <c r="T179" s="151">
        <f>(M179+15)/25.4</f>
        <v/>
      </c>
      <c r="U179" s="151">
        <f>(L179+15)/25.4</f>
        <v/>
      </c>
      <c r="V179" s="25">
        <f>((T180*U180*P179)/1550)/1000</f>
        <v/>
      </c>
      <c r="W179" s="903">
        <f>V179*S180</f>
        <v/>
      </c>
      <c r="X179" s="903">
        <f>(V179*3%)</f>
        <v/>
      </c>
      <c r="Y179" s="903">
        <f>X179*S179</f>
        <v/>
      </c>
      <c r="Z179" s="903">
        <f>W179+Y179</f>
        <v/>
      </c>
      <c r="AA179" s="25" t="n">
        <v>6.85</v>
      </c>
      <c r="AB179" s="903">
        <f>(V179+X179)*AA179</f>
        <v/>
      </c>
      <c r="AC179" s="650">
        <f>0.5/2</f>
        <v/>
      </c>
      <c r="AD179" s="650" t="n">
        <v>0</v>
      </c>
      <c r="AE179" s="650" t="n">
        <v>0</v>
      </c>
      <c r="AF179" s="650">
        <f>AB179+AC179+AD179+AE179</f>
        <v/>
      </c>
      <c r="AG179" s="650">
        <f>0.1/2</f>
        <v/>
      </c>
      <c r="AH179" s="650">
        <f>(Z179+AF179+AG179)*10%</f>
        <v/>
      </c>
      <c r="AI179" s="650" t="n">
        <v>0</v>
      </c>
      <c r="AJ179" s="864">
        <f>Z179+AF179+AG179+AH179-AI179</f>
        <v/>
      </c>
      <c r="AK179" s="505">
        <f>AJ179+AJ180+AJ181</f>
        <v/>
      </c>
    </row>
    <row r="180">
      <c r="A180" s="706" t="n">
        <v>58</v>
      </c>
      <c r="B180" s="299" t="n">
        <v>46266</v>
      </c>
      <c r="C180" s="706" t="inlineStr">
        <is>
          <t>SKE</t>
        </is>
      </c>
      <c r="D180" s="706" t="n"/>
      <c r="E180" s="1026" t="inlineStr">
        <is>
          <t>INLAY 2D - 2 Ply A-Flute</t>
        </is>
      </c>
      <c r="F180" s="706" t="inlineStr">
        <is>
          <t>A</t>
        </is>
      </c>
      <c r="G180" s="706" t="n">
        <v>0</v>
      </c>
      <c r="H180" s="706" t="inlineStr">
        <is>
          <t>2 Ply</t>
        </is>
      </c>
      <c r="I180" s="706" t="inlineStr">
        <is>
          <t>FULL</t>
        </is>
      </c>
      <c r="J180" s="706" t="n"/>
      <c r="K180" s="706" t="inlineStr">
        <is>
          <t>Inlay</t>
        </is>
      </c>
      <c r="L180" s="300" t="n"/>
      <c r="M180" s="300" t="n"/>
      <c r="N180" s="513" t="n"/>
      <c r="O180" s="717" t="inlineStr">
        <is>
          <t>Semi Kraft</t>
        </is>
      </c>
      <c r="P180" s="702" t="n">
        <v>120</v>
      </c>
      <c r="Q180" s="702" t="n"/>
      <c r="R180" s="702" t="n"/>
      <c r="S180" s="455" t="n">
        <v>41</v>
      </c>
      <c r="T180" s="372">
        <f>IF(MOD(ROUNDUP(T179,0),2)=1,ROUNDUP(T179,0)+1,ROUNDUP(T179,0))</f>
        <v/>
      </c>
      <c r="U180" s="372">
        <f>CEILING($U179,0.5)</f>
        <v/>
      </c>
      <c r="V180" s="25">
        <f>((T180*U180*P180*1.55)/1550)/1000</f>
        <v/>
      </c>
      <c r="W180" s="903">
        <f>V180*S180</f>
        <v/>
      </c>
      <c r="X180" s="903">
        <f>(V180*3%)</f>
        <v/>
      </c>
      <c r="Y180" s="903">
        <f>X180*S180</f>
        <v/>
      </c>
      <c r="Z180" s="903">
        <f>W180+Y180</f>
        <v/>
      </c>
      <c r="AA180" s="25" t="n">
        <v>6.85</v>
      </c>
      <c r="AB180" s="903">
        <f>(V180+X180)*AA180</f>
        <v/>
      </c>
      <c r="AC180" s="650">
        <f>0.5/2</f>
        <v/>
      </c>
      <c r="AD180" s="650" t="n">
        <v>0</v>
      </c>
      <c r="AE180" s="650" t="n">
        <v>0</v>
      </c>
      <c r="AF180" s="650">
        <f>AB180+AC180+AD180+AE180</f>
        <v/>
      </c>
      <c r="AG180" s="650">
        <f>0.1/2</f>
        <v/>
      </c>
      <c r="AH180" s="650">
        <f>(Z180+AF180+AG180)*10%</f>
        <v/>
      </c>
      <c r="AI180" s="650" t="n">
        <v>0</v>
      </c>
      <c r="AJ180" s="864">
        <f>Z180+AF180+AG180+AH180-AI180</f>
        <v/>
      </c>
      <c r="AK180" s="505" t="inlineStr">
        <is>
          <t>ok</t>
        </is>
      </c>
    </row>
    <row r="181">
      <c r="A181" s="706" t="n">
        <v>58</v>
      </c>
      <c r="B181" s="299" t="n">
        <v>46266</v>
      </c>
      <c r="C181" s="706" t="inlineStr">
        <is>
          <t>SKE</t>
        </is>
      </c>
      <c r="D181" s="706" t="n"/>
      <c r="E181" s="1026" t="inlineStr">
        <is>
          <t>INLAY 2D - 2 Ply A-Flute</t>
        </is>
      </c>
      <c r="F181" s="706" t="inlineStr">
        <is>
          <t>A</t>
        </is>
      </c>
      <c r="G181" s="706" t="n">
        <v>0</v>
      </c>
      <c r="H181" s="706" t="inlineStr">
        <is>
          <t>2 Ply</t>
        </is>
      </c>
      <c r="I181" s="706" t="inlineStr">
        <is>
          <t>FULL</t>
        </is>
      </c>
      <c r="J181" s="706" t="n"/>
      <c r="K181" s="706" t="inlineStr">
        <is>
          <t>Inlay</t>
        </is>
      </c>
      <c r="L181" s="300" t="n"/>
      <c r="M181" s="300" t="n"/>
      <c r="N181" s="513" t="n"/>
      <c r="O181" s="717" t="n"/>
      <c r="P181" s="702" t="n"/>
      <c r="Q181" s="702" t="n"/>
      <c r="R181" s="702" t="n"/>
      <c r="S181" s="702" t="n"/>
      <c r="T181" s="17" t="n">
        <v>0</v>
      </c>
      <c r="U181" s="17" t="n">
        <v>0</v>
      </c>
      <c r="V181" s="17" t="n">
        <v>0</v>
      </c>
      <c r="W181" s="903" t="n">
        <v>0</v>
      </c>
      <c r="X181" s="903" t="n">
        <v>0</v>
      </c>
      <c r="Y181" s="903" t="n">
        <v>0</v>
      </c>
      <c r="Z181" s="903" t="n">
        <v>0</v>
      </c>
      <c r="AA181" s="17" t="n">
        <v>0</v>
      </c>
      <c r="AB181" s="903" t="n">
        <v>0</v>
      </c>
      <c r="AC181" s="17" t="n">
        <v>0</v>
      </c>
      <c r="AD181" s="650" t="n">
        <v>0</v>
      </c>
      <c r="AE181" s="650" t="n">
        <v>0</v>
      </c>
      <c r="AF181" s="650">
        <f>AB181+AC181+AD181+AE181</f>
        <v/>
      </c>
      <c r="AG181" s="650" t="n">
        <v>0</v>
      </c>
      <c r="AH181" s="650">
        <f>(Z181+AF181+AG181)*10%</f>
        <v/>
      </c>
      <c r="AI181" s="650" t="n">
        <v>0</v>
      </c>
      <c r="AJ181" s="864">
        <f>Z181+AF181+AG181+AH181-AI181</f>
        <v/>
      </c>
      <c r="AK181" s="505" t="n"/>
    </row>
    <row r="182" ht="15" customHeight="1">
      <c r="A182" s="706" t="n">
        <v>59</v>
      </c>
      <c r="B182" s="299" t="n">
        <v>46266</v>
      </c>
      <c r="C182" s="706" t="inlineStr">
        <is>
          <t>SKE</t>
        </is>
      </c>
      <c r="D182" s="706" t="n"/>
      <c r="E182" s="1027" t="inlineStr">
        <is>
          <t>HSC Interlock Box 3 PLY- B FLUTE 640 GSM</t>
        </is>
      </c>
      <c r="F182" s="706" t="inlineStr">
        <is>
          <t>B</t>
        </is>
      </c>
      <c r="G182" s="706" t="n">
        <v>0</v>
      </c>
      <c r="H182" s="706" t="inlineStr">
        <is>
          <t>3 Ply</t>
        </is>
      </c>
      <c r="I182" s="706" t="inlineStr">
        <is>
          <t>KRTB &amp; HSC</t>
        </is>
      </c>
      <c r="J182" s="706" t="n"/>
      <c r="K182" s="706" t="inlineStr">
        <is>
          <t>I</t>
        </is>
      </c>
      <c r="L182" s="300" t="n">
        <v>100</v>
      </c>
      <c r="M182" s="300" t="n">
        <v>100</v>
      </c>
      <c r="N182" s="301" t="n">
        <v>100</v>
      </c>
      <c r="O182" s="16" t="inlineStr">
        <is>
          <t>Virgin Kraft</t>
        </is>
      </c>
      <c r="P182" s="17" t="n">
        <v>230</v>
      </c>
      <c r="Q182" s="17" t="n"/>
      <c r="R182" s="17" t="n"/>
      <c r="S182" s="455" t="n">
        <v>43</v>
      </c>
      <c r="T182" s="150">
        <f>((N182)+(M182*70%+20))/25.4</f>
        <v/>
      </c>
      <c r="U182" s="150">
        <f>((L182+M182+30)*2)/25.4</f>
        <v/>
      </c>
      <c r="V182" s="903">
        <f>((T183*U183*P182)/1550)/1000</f>
        <v/>
      </c>
      <c r="W182" s="903">
        <f>V182*S182</f>
        <v/>
      </c>
      <c r="X182" s="903">
        <f>(V182*3%)</f>
        <v/>
      </c>
      <c r="Y182" s="903">
        <f>X182*S182</f>
        <v/>
      </c>
      <c r="Z182" s="903">
        <f>W182+Y182</f>
        <v/>
      </c>
      <c r="AA182" s="903" t="n">
        <v>6.85</v>
      </c>
      <c r="AB182" s="903">
        <f>(V182+X182)*AA182</f>
        <v/>
      </c>
      <c r="AC182" s="650">
        <f>0.5/3</f>
        <v/>
      </c>
      <c r="AD182" s="650" t="n">
        <v>0</v>
      </c>
      <c r="AE182" s="650" t="n">
        <v>0</v>
      </c>
      <c r="AF182" s="650">
        <f>AB182+AC182+AD182+AE182</f>
        <v/>
      </c>
      <c r="AG182" s="650">
        <f>0.1/3</f>
        <v/>
      </c>
      <c r="AH182" s="650">
        <f>(Z182+AF182+AG182)*10%</f>
        <v/>
      </c>
      <c r="AI182" s="650" t="n">
        <v>0</v>
      </c>
      <c r="AJ182" s="864">
        <f>Z182+AF182+AG182+AH182-AI182</f>
        <v/>
      </c>
      <c r="AK182" s="505">
        <f>AJ182+AJ183+AJ184</f>
        <v/>
      </c>
    </row>
    <row r="183">
      <c r="A183" s="706" t="n">
        <v>59</v>
      </c>
      <c r="B183" s="299" t="n">
        <v>46266</v>
      </c>
      <c r="C183" s="706" t="inlineStr">
        <is>
          <t>SKE</t>
        </is>
      </c>
      <c r="D183" s="706" t="n"/>
      <c r="E183" s="1027" t="inlineStr">
        <is>
          <t>HSC Interlock Box 3 PLY- B FLUTE 640 GSM</t>
        </is>
      </c>
      <c r="F183" s="706" t="inlineStr">
        <is>
          <t>B</t>
        </is>
      </c>
      <c r="G183" s="706" t="n">
        <v>0</v>
      </c>
      <c r="H183" s="706" t="inlineStr">
        <is>
          <t>3 Ply</t>
        </is>
      </c>
      <c r="I183" s="706" t="inlineStr">
        <is>
          <t>KRTB &amp; HSC</t>
        </is>
      </c>
      <c r="J183" s="706" t="n"/>
      <c r="K183" s="706" t="inlineStr">
        <is>
          <t>I</t>
        </is>
      </c>
      <c r="L183" s="300" t="n"/>
      <c r="M183" s="300" t="n"/>
      <c r="N183" s="301" t="n"/>
      <c r="O183" s="16" t="inlineStr">
        <is>
          <t>Semi Kraft</t>
        </is>
      </c>
      <c r="P183" s="17" t="n">
        <v>180</v>
      </c>
      <c r="Q183" s="17" t="n"/>
      <c r="R183" s="17" t="n"/>
      <c r="S183" s="455" t="n">
        <v>41</v>
      </c>
      <c r="T183" s="293">
        <f>IF(MOD(ROUNDUP(T182,0),2)=1,ROUNDUP(T182,0)+1,ROUNDUP(T182,0))</f>
        <v/>
      </c>
      <c r="U183" s="293">
        <f>CEILING($U182,0.5)</f>
        <v/>
      </c>
      <c r="V183" s="903">
        <f>((T183*U183*P183*1.45)/1550)/1000</f>
        <v/>
      </c>
      <c r="W183" s="903">
        <f>V183*S183</f>
        <v/>
      </c>
      <c r="X183" s="903">
        <f>(V183*3%)</f>
        <v/>
      </c>
      <c r="Y183" s="903">
        <f>X183*S183</f>
        <v/>
      </c>
      <c r="Z183" s="903">
        <f>W183+Y183</f>
        <v/>
      </c>
      <c r="AA183" s="903" t="n">
        <v>6.85</v>
      </c>
      <c r="AB183" s="903">
        <f>(V183+X183)*AA183</f>
        <v/>
      </c>
      <c r="AC183" s="650">
        <f>0.5/3</f>
        <v/>
      </c>
      <c r="AD183" s="650" t="n">
        <v>0</v>
      </c>
      <c r="AE183" s="650" t="n">
        <v>0</v>
      </c>
      <c r="AF183" s="650">
        <f>AB183+AC183+AD183+AE183</f>
        <v/>
      </c>
      <c r="AG183" s="650">
        <f>0.1/3</f>
        <v/>
      </c>
      <c r="AH183" s="650">
        <f>(Z183+AF183+AG183)*10%</f>
        <v/>
      </c>
      <c r="AI183" s="650" t="n">
        <v>0</v>
      </c>
      <c r="AJ183" s="864">
        <f>Z183+AF183+AG183+AH183-AI183</f>
        <v/>
      </c>
      <c r="AK183" s="505" t="inlineStr">
        <is>
          <t>ok</t>
        </is>
      </c>
    </row>
    <row r="184">
      <c r="A184" s="706" t="n">
        <v>59</v>
      </c>
      <c r="B184" s="299" t="n">
        <v>46266</v>
      </c>
      <c r="C184" s="706" t="inlineStr">
        <is>
          <t>SKE</t>
        </is>
      </c>
      <c r="D184" s="706" t="n"/>
      <c r="E184" s="1027" t="inlineStr">
        <is>
          <t>HSC Interlock Box 3 PLY- B FLUTE 640 GSM</t>
        </is>
      </c>
      <c r="F184" s="706" t="inlineStr">
        <is>
          <t>B</t>
        </is>
      </c>
      <c r="G184" s="706" t="n">
        <v>0</v>
      </c>
      <c r="H184" s="706" t="inlineStr">
        <is>
          <t>3 Ply</t>
        </is>
      </c>
      <c r="I184" s="706" t="inlineStr">
        <is>
          <t>KRTB &amp; HSC</t>
        </is>
      </c>
      <c r="J184" s="706" t="n"/>
      <c r="K184" s="706" t="inlineStr">
        <is>
          <t>I</t>
        </is>
      </c>
      <c r="L184" s="300" t="n"/>
      <c r="M184" s="300" t="n"/>
      <c r="N184" s="301" t="n"/>
      <c r="O184" s="16" t="inlineStr">
        <is>
          <t>Virgin Kraft</t>
        </is>
      </c>
      <c r="P184" s="17" t="n">
        <v>230</v>
      </c>
      <c r="Q184" s="17" t="n"/>
      <c r="R184" s="17" t="n"/>
      <c r="S184" s="455" t="n">
        <v>43</v>
      </c>
      <c r="T184" s="61">
        <f>T183</f>
        <v/>
      </c>
      <c r="U184" s="61">
        <f>U183</f>
        <v/>
      </c>
      <c r="V184" s="903">
        <f>((T184*U184*P184)/1550)/1000</f>
        <v/>
      </c>
      <c r="W184" s="903">
        <f>V184*S184</f>
        <v/>
      </c>
      <c r="X184" s="903">
        <f>(V184*3%)</f>
        <v/>
      </c>
      <c r="Y184" s="903">
        <f>X184*S184</f>
        <v/>
      </c>
      <c r="Z184" s="903">
        <f>W184+Y184</f>
        <v/>
      </c>
      <c r="AA184" s="903" t="n">
        <v>6.85</v>
      </c>
      <c r="AB184" s="903">
        <f>(V184+X184)*AA184</f>
        <v/>
      </c>
      <c r="AC184" s="650">
        <f>0.5/3</f>
        <v/>
      </c>
      <c r="AD184" s="650" t="n">
        <v>0</v>
      </c>
      <c r="AE184" s="650" t="n">
        <v>0</v>
      </c>
      <c r="AF184" s="650">
        <f>AB184+AC184+AD184+AE184</f>
        <v/>
      </c>
      <c r="AG184" s="650">
        <f>0.1/3</f>
        <v/>
      </c>
      <c r="AH184" s="650">
        <f>(Z184+AF184+AG184)*10%</f>
        <v/>
      </c>
      <c r="AI184" s="650" t="n">
        <v>0</v>
      </c>
      <c r="AJ184" s="864">
        <f>Z184+AF184+AG184+AH184-AI184</f>
        <v/>
      </c>
      <c r="AK184" s="505" t="n"/>
    </row>
    <row r="185" ht="15" customHeight="1">
      <c r="A185" s="706" t="n">
        <v>60</v>
      </c>
      <c r="B185" s="299" t="n">
        <v>46266</v>
      </c>
      <c r="C185" s="706" t="inlineStr">
        <is>
          <t>SKE</t>
        </is>
      </c>
      <c r="D185" s="706" t="n"/>
      <c r="E185" s="1027" t="inlineStr">
        <is>
          <t>HSC Interlock Box 5 PLY- B FLUTE 640 GSM</t>
        </is>
      </c>
      <c r="F185" s="706" t="inlineStr">
        <is>
          <t>B</t>
        </is>
      </c>
      <c r="G185" s="706" t="n">
        <v>0</v>
      </c>
      <c r="H185" s="706" t="inlineStr">
        <is>
          <t>5 Ply</t>
        </is>
      </c>
      <c r="I185" s="706" t="inlineStr">
        <is>
          <t>KRTB &amp; HSC</t>
        </is>
      </c>
      <c r="J185" s="706" t="n"/>
      <c r="K185" s="706" t="inlineStr">
        <is>
          <t>I</t>
        </is>
      </c>
      <c r="L185" s="300" t="n">
        <v>100</v>
      </c>
      <c r="M185" s="300" t="n">
        <v>100</v>
      </c>
      <c r="N185" s="301" t="n">
        <v>100</v>
      </c>
      <c r="O185" s="16" t="inlineStr">
        <is>
          <t>Virgin Kraft</t>
        </is>
      </c>
      <c r="P185" s="17" t="n">
        <v>230</v>
      </c>
      <c r="Q185" s="17" t="n"/>
      <c r="R185" s="17" t="n"/>
      <c r="S185" s="455" t="n">
        <v>43</v>
      </c>
      <c r="T185" s="150">
        <f>((N185)+(M185*70%+20))/25.4</f>
        <v/>
      </c>
      <c r="U185" s="150">
        <f>((L185+M185+30)*2)/25.4</f>
        <v/>
      </c>
      <c r="V185" s="903">
        <f>((T186*U186*P185)/1550)/1000</f>
        <v/>
      </c>
      <c r="W185" s="903">
        <f>V185*S185</f>
        <v/>
      </c>
      <c r="X185" s="903">
        <f>(V185*3%)</f>
        <v/>
      </c>
      <c r="Y185" s="903">
        <f>X185*S185</f>
        <v/>
      </c>
      <c r="Z185" s="903">
        <f>W185+Y185</f>
        <v/>
      </c>
      <c r="AA185" s="903" t="n">
        <v>6.85</v>
      </c>
      <c r="AB185" s="903">
        <f>(V185+X185)*AA185</f>
        <v/>
      </c>
      <c r="AC185" s="650">
        <f>0.5/3</f>
        <v/>
      </c>
      <c r="AD185" s="650" t="n">
        <v>0</v>
      </c>
      <c r="AE185" s="650" t="n">
        <v>0</v>
      </c>
      <c r="AF185" s="650">
        <f>AB185+AC185+AD185+AE185</f>
        <v/>
      </c>
      <c r="AG185" s="650">
        <f>0.1/3</f>
        <v/>
      </c>
      <c r="AH185" s="650">
        <f>(Z185+AF185+AG185)*10%</f>
        <v/>
      </c>
      <c r="AI185" s="650" t="n">
        <v>0</v>
      </c>
      <c r="AJ185" s="864">
        <f>Z185+AF185+AG185+AH185-AI185</f>
        <v/>
      </c>
      <c r="AK185" s="505">
        <f>AJ185+AJ186+AJ187</f>
        <v/>
      </c>
    </row>
    <row r="186">
      <c r="A186" s="706" t="n">
        <v>60</v>
      </c>
      <c r="B186" s="299" t="n">
        <v>46266</v>
      </c>
      <c r="C186" s="706" t="inlineStr">
        <is>
          <t>SKE</t>
        </is>
      </c>
      <c r="D186" s="706" t="n"/>
      <c r="E186" s="1027" t="inlineStr">
        <is>
          <t>HSC Interlock Box 5 PLY- B FLUTE 640 GSM</t>
        </is>
      </c>
      <c r="F186" s="706" t="inlineStr">
        <is>
          <t>B</t>
        </is>
      </c>
      <c r="G186" s="706" t="n">
        <v>0</v>
      </c>
      <c r="H186" s="706" t="inlineStr">
        <is>
          <t>5 Ply</t>
        </is>
      </c>
      <c r="I186" s="706" t="inlineStr">
        <is>
          <t>KRTB &amp; HSC</t>
        </is>
      </c>
      <c r="J186" s="706" t="n"/>
      <c r="K186" s="706" t="inlineStr">
        <is>
          <t>I</t>
        </is>
      </c>
      <c r="L186" s="300" t="n"/>
      <c r="M186" s="300" t="n"/>
      <c r="N186" s="301" t="n"/>
      <c r="O186" s="16" t="inlineStr">
        <is>
          <t>Semi Kraft</t>
        </is>
      </c>
      <c r="P186" s="17" t="n">
        <v>180</v>
      </c>
      <c r="Q186" s="17" t="n"/>
      <c r="R186" s="17" t="n"/>
      <c r="S186" s="455" t="n">
        <v>41</v>
      </c>
      <c r="T186" s="293">
        <f>IF(MOD(ROUNDUP(T185,0),2)=1,ROUNDUP(T185,0)+1,ROUNDUP(T185,0))</f>
        <v/>
      </c>
      <c r="U186" s="293">
        <f>CEILING($U185,0.5)</f>
        <v/>
      </c>
      <c r="V186" s="903">
        <f>((T186*U186*P186*1.45)*2/1550)/1000</f>
        <v/>
      </c>
      <c r="W186" s="903">
        <f>V186*S186</f>
        <v/>
      </c>
      <c r="X186" s="903">
        <f>(V186*3%)</f>
        <v/>
      </c>
      <c r="Y186" s="903">
        <f>X186*S186</f>
        <v/>
      </c>
      <c r="Z186" s="903">
        <f>W186+Y186</f>
        <v/>
      </c>
      <c r="AA186" s="903" t="n">
        <v>6.85</v>
      </c>
      <c r="AB186" s="903">
        <f>(V186+X186)*AA186</f>
        <v/>
      </c>
      <c r="AC186" s="650">
        <f>0.5/3</f>
        <v/>
      </c>
      <c r="AD186" s="650" t="n">
        <v>0</v>
      </c>
      <c r="AE186" s="650" t="n">
        <v>0</v>
      </c>
      <c r="AF186" s="650">
        <f>AB186+AC186+AD186+AE186</f>
        <v/>
      </c>
      <c r="AG186" s="650">
        <f>0.1/3</f>
        <v/>
      </c>
      <c r="AH186" s="650">
        <f>(Z186+AF186+AG186)*10%</f>
        <v/>
      </c>
      <c r="AI186" s="650" t="n">
        <v>0</v>
      </c>
      <c r="AJ186" s="864">
        <f>Z186+AF186+AG186+AH186-AI186</f>
        <v/>
      </c>
      <c r="AK186" s="505" t="inlineStr">
        <is>
          <t>ok</t>
        </is>
      </c>
    </row>
    <row r="187">
      <c r="A187" s="706" t="n">
        <v>60</v>
      </c>
      <c r="B187" s="299" t="n">
        <v>46266</v>
      </c>
      <c r="C187" s="706" t="inlineStr">
        <is>
          <t>SKE</t>
        </is>
      </c>
      <c r="D187" s="706" t="n"/>
      <c r="E187" s="1027" t="inlineStr">
        <is>
          <t>HSC Interlock Box 5 PLY- B FLUTE 640 GSM</t>
        </is>
      </c>
      <c r="F187" s="706" t="inlineStr">
        <is>
          <t>B</t>
        </is>
      </c>
      <c r="G187" s="706" t="n">
        <v>0</v>
      </c>
      <c r="H187" s="706" t="inlineStr">
        <is>
          <t>5 Ply</t>
        </is>
      </c>
      <c r="I187" s="706" t="inlineStr">
        <is>
          <t>KRTB &amp; HSC</t>
        </is>
      </c>
      <c r="J187" s="706" t="n"/>
      <c r="K187" s="706" t="inlineStr">
        <is>
          <t>I</t>
        </is>
      </c>
      <c r="L187" s="300" t="n"/>
      <c r="M187" s="300" t="n"/>
      <c r="N187" s="301" t="n"/>
      <c r="O187" s="16" t="inlineStr">
        <is>
          <t>Virgin Kraft</t>
        </is>
      </c>
      <c r="P187" s="17" t="n">
        <v>230</v>
      </c>
      <c r="Q187" s="17" t="n"/>
      <c r="R187" s="17" t="n"/>
      <c r="S187" s="455" t="n">
        <v>43</v>
      </c>
      <c r="T187" s="61">
        <f>T186</f>
        <v/>
      </c>
      <c r="U187" s="61">
        <f>U186</f>
        <v/>
      </c>
      <c r="V187" s="903">
        <f>((T187*U187*P187)/1550)*2/1000</f>
        <v/>
      </c>
      <c r="W187" s="903">
        <f>V187*S187</f>
        <v/>
      </c>
      <c r="X187" s="903">
        <f>(V187*3%)</f>
        <v/>
      </c>
      <c r="Y187" s="903">
        <f>X187*S187</f>
        <v/>
      </c>
      <c r="Z187" s="903">
        <f>W187+Y187</f>
        <v/>
      </c>
      <c r="AA187" s="903" t="n">
        <v>6.85</v>
      </c>
      <c r="AB187" s="903">
        <f>(V187+X187)*AA187</f>
        <v/>
      </c>
      <c r="AC187" s="650">
        <f>0.5/3</f>
        <v/>
      </c>
      <c r="AD187" s="650" t="n">
        <v>0</v>
      </c>
      <c r="AE187" s="650" t="n">
        <v>0</v>
      </c>
      <c r="AF187" s="650">
        <f>AB187+AC187+AD187+AE187</f>
        <v/>
      </c>
      <c r="AG187" s="650">
        <f>0.1/3</f>
        <v/>
      </c>
      <c r="AH187" s="650">
        <f>(Z187+AF187+AG187)*10%</f>
        <v/>
      </c>
      <c r="AI187" s="650" t="n">
        <v>0</v>
      </c>
      <c r="AJ187" s="864">
        <f>Z187+AF187+AG187+AH187-AI187</f>
        <v/>
      </c>
      <c r="AK187" s="505" t="n"/>
    </row>
    <row r="188" ht="15" customHeight="1">
      <c r="A188" s="706" t="n">
        <v>61</v>
      </c>
      <c r="B188" s="299" t="n">
        <v>46266</v>
      </c>
      <c r="C188" s="706" t="inlineStr">
        <is>
          <t>SKE</t>
        </is>
      </c>
      <c r="D188" s="706" t="n"/>
      <c r="E188" s="1027" t="inlineStr">
        <is>
          <t>HSC Interlock Box 3 PLY- B FLUTE 640 GSM</t>
        </is>
      </c>
      <c r="F188" s="706" t="inlineStr">
        <is>
          <t>B</t>
        </is>
      </c>
      <c r="G188" s="706" t="n">
        <v>0</v>
      </c>
      <c r="H188" s="706" t="inlineStr">
        <is>
          <t>3 Ply</t>
        </is>
      </c>
      <c r="I188" s="706" t="inlineStr">
        <is>
          <t>KEL &amp; HSC</t>
        </is>
      </c>
      <c r="J188" s="706" t="n"/>
      <c r="K188" s="706" t="inlineStr">
        <is>
          <t>I</t>
        </is>
      </c>
      <c r="L188" s="300" t="n">
        <v>100</v>
      </c>
      <c r="M188" s="300" t="n">
        <v>100</v>
      </c>
      <c r="N188" s="301" t="n">
        <v>100</v>
      </c>
      <c r="O188" s="16" t="inlineStr">
        <is>
          <t>Virgin Kraft</t>
        </is>
      </c>
      <c r="P188" s="17" t="n">
        <v>230</v>
      </c>
      <c r="Q188" s="17" t="n"/>
      <c r="R188" s="17" t="n"/>
      <c r="S188" s="455" t="n">
        <v>43</v>
      </c>
      <c r="T188" s="150">
        <f>((N188)+(M188*70%+20))/25.4</f>
        <v/>
      </c>
      <c r="U188" s="150">
        <f>((L188+M188+30)*2)/25.4</f>
        <v/>
      </c>
      <c r="V188" s="903">
        <f>((T189*U189*P188)/1550)/1000</f>
        <v/>
      </c>
      <c r="W188" s="903">
        <f>V188*S188</f>
        <v/>
      </c>
      <c r="X188" s="903">
        <f>(V188*3%)</f>
        <v/>
      </c>
      <c r="Y188" s="903">
        <f>X188*S188</f>
        <v/>
      </c>
      <c r="Z188" s="903">
        <f>W188+Y188</f>
        <v/>
      </c>
      <c r="AA188" s="903" t="n">
        <v>6.85</v>
      </c>
      <c r="AB188" s="903">
        <f>(V188+X188)*AA188</f>
        <v/>
      </c>
      <c r="AC188" s="650">
        <f>0.5/3</f>
        <v/>
      </c>
      <c r="AD188" s="650" t="n">
        <v>0</v>
      </c>
      <c r="AE188" s="650" t="n">
        <v>0</v>
      </c>
      <c r="AF188" s="650">
        <f>AB188+AC188+AD188+AE188</f>
        <v/>
      </c>
      <c r="AG188" s="650">
        <f>0.1/3</f>
        <v/>
      </c>
      <c r="AH188" s="650">
        <f>(Z188+AF188+AG188)*10%</f>
        <v/>
      </c>
      <c r="AI188" s="650" t="n">
        <v>0</v>
      </c>
      <c r="AJ188" s="864">
        <f>Z188+AF188+AG188+AH188-AI188</f>
        <v/>
      </c>
      <c r="AK188" s="505">
        <f>AJ188+AJ189+AJ190</f>
        <v/>
      </c>
    </row>
    <row r="189">
      <c r="A189" s="706" t="n">
        <v>61</v>
      </c>
      <c r="B189" s="299" t="n">
        <v>46266</v>
      </c>
      <c r="C189" s="706" t="inlineStr">
        <is>
          <t>SKE</t>
        </is>
      </c>
      <c r="D189" s="706" t="n"/>
      <c r="E189" s="1027" t="inlineStr">
        <is>
          <t>HSC Interlock Box 3 PLY- B FLUTE 640 GSM</t>
        </is>
      </c>
      <c r="F189" s="706" t="inlineStr">
        <is>
          <t>B</t>
        </is>
      </c>
      <c r="G189" s="706" t="n">
        <v>0</v>
      </c>
      <c r="H189" s="706" t="inlineStr">
        <is>
          <t>3 Ply</t>
        </is>
      </c>
      <c r="I189" s="706" t="inlineStr">
        <is>
          <t>KEL &amp; HSC</t>
        </is>
      </c>
      <c r="J189" s="706" t="n"/>
      <c r="K189" s="706" t="inlineStr">
        <is>
          <t>I</t>
        </is>
      </c>
      <c r="L189" s="300" t="n"/>
      <c r="M189" s="300" t="n"/>
      <c r="N189" s="301" t="n"/>
      <c r="O189" s="16" t="inlineStr">
        <is>
          <t>Semi Kraft</t>
        </is>
      </c>
      <c r="P189" s="17" t="n">
        <v>180</v>
      </c>
      <c r="Q189" s="17" t="n"/>
      <c r="R189" s="17" t="n"/>
      <c r="S189" s="455" t="n">
        <v>41</v>
      </c>
      <c r="T189" s="293">
        <f>IF(MOD(ROUNDUP(T188,0),2)=1,ROUNDUP(T188,0)+1,ROUNDUP(T188,0))</f>
        <v/>
      </c>
      <c r="U189" s="293">
        <f>CEILING($U188,0.5)</f>
        <v/>
      </c>
      <c r="V189" s="903">
        <f>((T189*U189*P189*1.45)/1550)/1000</f>
        <v/>
      </c>
      <c r="W189" s="903">
        <f>V189*S189</f>
        <v/>
      </c>
      <c r="X189" s="903">
        <f>(V189*3%)</f>
        <v/>
      </c>
      <c r="Y189" s="903">
        <f>X189*S189</f>
        <v/>
      </c>
      <c r="Z189" s="903">
        <f>W189+Y189</f>
        <v/>
      </c>
      <c r="AA189" s="903" t="n">
        <v>6.85</v>
      </c>
      <c r="AB189" s="903">
        <f>(V189+X189)*AA189</f>
        <v/>
      </c>
      <c r="AC189" s="650">
        <f>0.5/3</f>
        <v/>
      </c>
      <c r="AD189" s="650" t="n">
        <v>0</v>
      </c>
      <c r="AE189" s="650" t="n">
        <v>0</v>
      </c>
      <c r="AF189" s="650">
        <f>AB189+AC189+AD189+AE189</f>
        <v/>
      </c>
      <c r="AG189" s="650">
        <f>0.1/3</f>
        <v/>
      </c>
      <c r="AH189" s="650">
        <f>(Z189+AF189+AG189)*10%</f>
        <v/>
      </c>
      <c r="AI189" s="650" t="n">
        <v>0</v>
      </c>
      <c r="AJ189" s="864">
        <f>Z189+AF189+AG189+AH189-AI189</f>
        <v/>
      </c>
      <c r="AK189" s="505" t="inlineStr">
        <is>
          <t>ok</t>
        </is>
      </c>
    </row>
    <row r="190">
      <c r="A190" s="706" t="n">
        <v>61</v>
      </c>
      <c r="B190" s="299" t="n">
        <v>46266</v>
      </c>
      <c r="C190" s="706" t="inlineStr">
        <is>
          <t>SKE</t>
        </is>
      </c>
      <c r="D190" s="706" t="n"/>
      <c r="E190" s="1027" t="inlineStr">
        <is>
          <t>HSC Interlock Box 3 PLY- B FLUTE 640 GSM</t>
        </is>
      </c>
      <c r="F190" s="706" t="inlineStr">
        <is>
          <t>B</t>
        </is>
      </c>
      <c r="G190" s="706" t="n">
        <v>0</v>
      </c>
      <c r="H190" s="706" t="inlineStr">
        <is>
          <t>3 Ply</t>
        </is>
      </c>
      <c r="I190" s="706" t="inlineStr">
        <is>
          <t>KEL &amp; HSC</t>
        </is>
      </c>
      <c r="J190" s="706" t="n"/>
      <c r="K190" s="706" t="inlineStr">
        <is>
          <t>I</t>
        </is>
      </c>
      <c r="L190" s="300" t="n"/>
      <c r="M190" s="300" t="n"/>
      <c r="N190" s="301" t="n"/>
      <c r="O190" s="16" t="inlineStr">
        <is>
          <t>Virgin Kraft</t>
        </is>
      </c>
      <c r="P190" s="17" t="n">
        <v>230</v>
      </c>
      <c r="Q190" s="17" t="n"/>
      <c r="R190" s="17" t="n"/>
      <c r="S190" s="455" t="n">
        <v>43</v>
      </c>
      <c r="T190" s="61">
        <f>T189</f>
        <v/>
      </c>
      <c r="U190" s="61">
        <f>U189</f>
        <v/>
      </c>
      <c r="V190" s="903">
        <f>((T190*U190*P190)/1550)/1000</f>
        <v/>
      </c>
      <c r="W190" s="903">
        <f>V190*S190</f>
        <v/>
      </c>
      <c r="X190" s="903">
        <f>(V190*3%)</f>
        <v/>
      </c>
      <c r="Y190" s="903">
        <f>X190*S190</f>
        <v/>
      </c>
      <c r="Z190" s="903">
        <f>W190+Y190</f>
        <v/>
      </c>
      <c r="AA190" s="903" t="n">
        <v>6.85</v>
      </c>
      <c r="AB190" s="903">
        <f>(V190+X190)*AA190</f>
        <v/>
      </c>
      <c r="AC190" s="650">
        <f>0.5/3</f>
        <v/>
      </c>
      <c r="AD190" s="650" t="n">
        <v>0</v>
      </c>
      <c r="AE190" s="650" t="n">
        <v>0</v>
      </c>
      <c r="AF190" s="650">
        <f>AB190+AC190+AD190+AE190</f>
        <v/>
      </c>
      <c r="AG190" s="650">
        <f>0.1/3</f>
        <v/>
      </c>
      <c r="AH190" s="650">
        <f>(Z190+AF190+AG190)*10%</f>
        <v/>
      </c>
      <c r="AI190" s="650" t="n">
        <v>0</v>
      </c>
      <c r="AJ190" s="864">
        <f>Z190+AF190+AG190+AH190-AI190</f>
        <v/>
      </c>
      <c r="AK190" s="505" t="n"/>
    </row>
    <row r="191" ht="15" customHeight="1">
      <c r="A191" s="706" t="n">
        <v>62</v>
      </c>
      <c r="B191" s="299" t="n">
        <v>46266</v>
      </c>
      <c r="C191" s="706" t="inlineStr">
        <is>
          <t>SKE</t>
        </is>
      </c>
      <c r="D191" s="706" t="n"/>
      <c r="E191" s="1027" t="inlineStr">
        <is>
          <t>HSC Interlock Box 5 PLY- B FLUTE 640 GSM</t>
        </is>
      </c>
      <c r="F191" s="706" t="inlineStr">
        <is>
          <t>B</t>
        </is>
      </c>
      <c r="G191" s="706" t="n">
        <v>0</v>
      </c>
      <c r="H191" s="706" t="inlineStr">
        <is>
          <t>5 Ply</t>
        </is>
      </c>
      <c r="I191" s="706" t="inlineStr">
        <is>
          <t>KEL &amp; HSC</t>
        </is>
      </c>
      <c r="J191" s="706" t="n"/>
      <c r="K191" s="706" t="inlineStr">
        <is>
          <t>I</t>
        </is>
      </c>
      <c r="L191" s="300" t="n">
        <v>100</v>
      </c>
      <c r="M191" s="300" t="n">
        <v>100</v>
      </c>
      <c r="N191" s="301" t="n">
        <v>100</v>
      </c>
      <c r="O191" s="16" t="inlineStr">
        <is>
          <t>Virgin Kraft</t>
        </is>
      </c>
      <c r="P191" s="17" t="n">
        <v>230</v>
      </c>
      <c r="Q191" s="17" t="n"/>
      <c r="R191" s="17" t="n"/>
      <c r="S191" s="455" t="n">
        <v>43</v>
      </c>
      <c r="T191" s="150">
        <f>((N191)+(M191*70%+20))/25.4</f>
        <v/>
      </c>
      <c r="U191" s="150">
        <f>((L191+M191+30)*2)/25.4</f>
        <v/>
      </c>
      <c r="V191" s="903">
        <f>((T192*U192*P191)/1550)/1000</f>
        <v/>
      </c>
      <c r="W191" s="903">
        <f>V191*S191</f>
        <v/>
      </c>
      <c r="X191" s="903">
        <f>(V191*3%)</f>
        <v/>
      </c>
      <c r="Y191" s="903">
        <f>X191*S191</f>
        <v/>
      </c>
      <c r="Z191" s="903">
        <f>W191+Y191</f>
        <v/>
      </c>
      <c r="AA191" s="903" t="n">
        <v>6.85</v>
      </c>
      <c r="AB191" s="903">
        <f>(V191+X191)*AA191</f>
        <v/>
      </c>
      <c r="AC191" s="650">
        <f>0.5/3</f>
        <v/>
      </c>
      <c r="AD191" s="650" t="n">
        <v>0</v>
      </c>
      <c r="AE191" s="650" t="n">
        <v>0</v>
      </c>
      <c r="AF191" s="650">
        <f>AB191+AC191+AD191+AE191</f>
        <v/>
      </c>
      <c r="AG191" s="650">
        <f>0.1/3</f>
        <v/>
      </c>
      <c r="AH191" s="650">
        <f>(Z191+AF191+AG191)*10%</f>
        <v/>
      </c>
      <c r="AI191" s="650" t="n">
        <v>0</v>
      </c>
      <c r="AJ191" s="864">
        <f>Z191+AF191+AG191+AH191-AI191</f>
        <v/>
      </c>
      <c r="AK191" s="505">
        <f>AJ191+AJ192+AJ193</f>
        <v/>
      </c>
    </row>
    <row r="192">
      <c r="A192" s="706" t="n">
        <v>62</v>
      </c>
      <c r="B192" s="299" t="n">
        <v>46266</v>
      </c>
      <c r="C192" s="706" t="inlineStr">
        <is>
          <t>SKE</t>
        </is>
      </c>
      <c r="D192" s="706" t="n"/>
      <c r="E192" s="1027" t="inlineStr">
        <is>
          <t>HSC Interlock Box 5 PLY- B FLUTE 640 GSM</t>
        </is>
      </c>
      <c r="F192" s="706" t="inlineStr">
        <is>
          <t>B</t>
        </is>
      </c>
      <c r="G192" s="706" t="n">
        <v>0</v>
      </c>
      <c r="H192" s="706" t="inlineStr">
        <is>
          <t>5 Ply</t>
        </is>
      </c>
      <c r="I192" s="706" t="inlineStr">
        <is>
          <t>KEL &amp; HSC</t>
        </is>
      </c>
      <c r="J192" s="706" t="n"/>
      <c r="K192" s="706" t="inlineStr">
        <is>
          <t>I</t>
        </is>
      </c>
      <c r="L192" s="300" t="n"/>
      <c r="M192" s="300" t="n"/>
      <c r="N192" s="301" t="n"/>
      <c r="O192" s="16" t="inlineStr">
        <is>
          <t>Semi Kraft</t>
        </is>
      </c>
      <c r="P192" s="17" t="n">
        <v>180</v>
      </c>
      <c r="Q192" s="17" t="n"/>
      <c r="R192" s="17" t="n"/>
      <c r="S192" s="455" t="n">
        <v>41</v>
      </c>
      <c r="T192" s="293">
        <f>IF(MOD(ROUNDUP(T191,0),2)=1,ROUNDUP(T191,0)+1,ROUNDUP(T191,0))</f>
        <v/>
      </c>
      <c r="U192" s="293">
        <f>CEILING($U191,0.5)</f>
        <v/>
      </c>
      <c r="V192" s="903">
        <f>((T192*U192*P192*1.45)*2/1550)/1000</f>
        <v/>
      </c>
      <c r="W192" s="903">
        <f>V192*S192</f>
        <v/>
      </c>
      <c r="X192" s="903">
        <f>(V192*3%)</f>
        <v/>
      </c>
      <c r="Y192" s="903">
        <f>X192*S192</f>
        <v/>
      </c>
      <c r="Z192" s="903">
        <f>W192+Y192</f>
        <v/>
      </c>
      <c r="AA192" s="903" t="n">
        <v>6.85</v>
      </c>
      <c r="AB192" s="903">
        <f>(V192+X192)*AA192</f>
        <v/>
      </c>
      <c r="AC192" s="650">
        <f>0.5/3</f>
        <v/>
      </c>
      <c r="AD192" s="650" t="n">
        <v>0</v>
      </c>
      <c r="AE192" s="650" t="n">
        <v>0</v>
      </c>
      <c r="AF192" s="650">
        <f>AB192+AC192+AD192+AE192</f>
        <v/>
      </c>
      <c r="AG192" s="650">
        <f>0.1/3</f>
        <v/>
      </c>
      <c r="AH192" s="650">
        <f>(Z192+AF192+AG192)*10%</f>
        <v/>
      </c>
      <c r="AI192" s="650" t="n">
        <v>0</v>
      </c>
      <c r="AJ192" s="864">
        <f>Z192+AF192+AG192+AH192-AI192</f>
        <v/>
      </c>
      <c r="AK192" s="505" t="inlineStr">
        <is>
          <t>ok</t>
        </is>
      </c>
    </row>
    <row r="193">
      <c r="A193" s="706" t="n">
        <v>62</v>
      </c>
      <c r="B193" s="299" t="n">
        <v>46266</v>
      </c>
      <c r="C193" s="706" t="inlineStr">
        <is>
          <t>SKE</t>
        </is>
      </c>
      <c r="D193" s="706" t="n"/>
      <c r="E193" s="1027" t="inlineStr">
        <is>
          <t>HSC Interlock Box 5 PLY- B FLUTE 640 GSM</t>
        </is>
      </c>
      <c r="F193" s="706" t="inlineStr">
        <is>
          <t>B</t>
        </is>
      </c>
      <c r="G193" s="706" t="n">
        <v>0</v>
      </c>
      <c r="H193" s="706" t="inlineStr">
        <is>
          <t>5 Ply</t>
        </is>
      </c>
      <c r="I193" s="706" t="inlineStr">
        <is>
          <t>KEL &amp; HSC</t>
        </is>
      </c>
      <c r="J193" s="706" t="n"/>
      <c r="K193" s="706" t="inlineStr">
        <is>
          <t>I</t>
        </is>
      </c>
      <c r="L193" s="300" t="n"/>
      <c r="M193" s="300" t="n"/>
      <c r="N193" s="301" t="n"/>
      <c r="O193" s="16" t="inlineStr">
        <is>
          <t>Virgin Kraft</t>
        </is>
      </c>
      <c r="P193" s="17" t="n">
        <v>230</v>
      </c>
      <c r="Q193" s="17" t="n"/>
      <c r="R193" s="17" t="n"/>
      <c r="S193" s="455" t="n">
        <v>43</v>
      </c>
      <c r="T193" s="61">
        <f>T192</f>
        <v/>
      </c>
      <c r="U193" s="61">
        <f>U192</f>
        <v/>
      </c>
      <c r="V193" s="903">
        <f>((T193*U193*P193)/1550)*2/1000</f>
        <v/>
      </c>
      <c r="W193" s="903">
        <f>V193*S193</f>
        <v/>
      </c>
      <c r="X193" s="903">
        <f>(V193*3%)</f>
        <v/>
      </c>
      <c r="Y193" s="903">
        <f>X193*S193</f>
        <v/>
      </c>
      <c r="Z193" s="903">
        <f>W193+Y193</f>
        <v/>
      </c>
      <c r="AA193" s="903" t="n">
        <v>6.85</v>
      </c>
      <c r="AB193" s="903">
        <f>(V193+X193)*AA193</f>
        <v/>
      </c>
      <c r="AC193" s="650">
        <f>0.5/3</f>
        <v/>
      </c>
      <c r="AD193" s="650" t="n">
        <v>0</v>
      </c>
      <c r="AE193" s="650" t="n">
        <v>0</v>
      </c>
      <c r="AF193" s="650">
        <f>AB193+AC193+AD193+AE193</f>
        <v/>
      </c>
      <c r="AG193" s="650">
        <f>0.1/3</f>
        <v/>
      </c>
      <c r="AH193" s="650">
        <f>(Z193+AF193+AG193)*10%</f>
        <v/>
      </c>
      <c r="AI193" s="650" t="n">
        <v>0</v>
      </c>
      <c r="AJ193" s="864">
        <f>Z193+AF193+AG193+AH193-AI193</f>
        <v/>
      </c>
      <c r="AK193" s="505" t="n"/>
    </row>
    <row r="194">
      <c r="A194" s="706" t="n">
        <v>63</v>
      </c>
      <c r="B194" s="299" t="n">
        <v>46266</v>
      </c>
      <c r="C194" s="706" t="inlineStr">
        <is>
          <t>SKE</t>
        </is>
      </c>
      <c r="D194" s="706" t="n"/>
      <c r="E194" s="1026" t="inlineStr">
        <is>
          <t>WHITE INLAY 2D- 3 Ply (ONE SIDE WHITE PAPER) 560 GSM</t>
        </is>
      </c>
      <c r="F194" s="706" t="inlineStr">
        <is>
          <t>B</t>
        </is>
      </c>
      <c r="G194" s="706" t="n">
        <v>0</v>
      </c>
      <c r="H194" s="706" t="inlineStr">
        <is>
          <t>3 Ply</t>
        </is>
      </c>
      <c r="I194" s="706" t="inlineStr">
        <is>
          <t>FULL &amp; WHITE</t>
        </is>
      </c>
      <c r="J194" s="706" t="n"/>
      <c r="K194" s="706" t="inlineStr">
        <is>
          <t>Inlay</t>
        </is>
      </c>
      <c r="L194" s="300" t="n">
        <v>100</v>
      </c>
      <c r="M194" s="300" t="n">
        <v>100</v>
      </c>
      <c r="N194" s="309" t="n"/>
      <c r="O194" s="16" t="inlineStr">
        <is>
          <t>Duplex</t>
        </is>
      </c>
      <c r="P194" s="17" t="n">
        <v>230</v>
      </c>
      <c r="Q194" s="17" t="n"/>
      <c r="R194" s="17" t="n"/>
      <c r="S194" s="455" t="n">
        <v>62</v>
      </c>
      <c r="T194" s="150">
        <f>(M194+15)/25.4</f>
        <v/>
      </c>
      <c r="U194" s="150">
        <f>(L194+15)/25.4</f>
        <v/>
      </c>
      <c r="V194" s="903">
        <f>((T195*U195*P194)/1550)/1000</f>
        <v/>
      </c>
      <c r="W194" s="903">
        <f>V194*S194</f>
        <v/>
      </c>
      <c r="X194" s="903">
        <f>(V194*3%)</f>
        <v/>
      </c>
      <c r="Y194" s="903">
        <f>X194*S194</f>
        <v/>
      </c>
      <c r="Z194" s="903">
        <f>W194+Y194</f>
        <v/>
      </c>
      <c r="AA194" s="903" t="n">
        <v>6.85</v>
      </c>
      <c r="AB194" s="903">
        <f>(V194+X194)*AA194</f>
        <v/>
      </c>
      <c r="AC194" s="650">
        <f>0.5/3</f>
        <v/>
      </c>
      <c r="AD194" s="650" t="n">
        <v>0</v>
      </c>
      <c r="AE194" s="650" t="n">
        <v>0</v>
      </c>
      <c r="AF194" s="650">
        <f>AB194+AC194+AD194+AE194</f>
        <v/>
      </c>
      <c r="AG194" s="650">
        <f>0.1/3</f>
        <v/>
      </c>
      <c r="AH194" s="650">
        <f>(Z194+AF194+AG194)*10%</f>
        <v/>
      </c>
      <c r="AI194" s="650" t="n">
        <v>0</v>
      </c>
      <c r="AJ194" s="864">
        <f>Z194+AF194+AG194+AH194-AI194</f>
        <v/>
      </c>
      <c r="AK194" s="504">
        <f>AJ194+AJ195+AJ196</f>
        <v/>
      </c>
    </row>
    <row r="195">
      <c r="A195" s="706" t="n">
        <v>63</v>
      </c>
      <c r="B195" s="299" t="n">
        <v>46266</v>
      </c>
      <c r="C195" s="706" t="inlineStr">
        <is>
          <t>SKE</t>
        </is>
      </c>
      <c r="D195" s="706" t="n"/>
      <c r="E195" s="1026" t="inlineStr">
        <is>
          <t>WHITE INLAY 2D- 3 Ply (ONE SIDE WHITE PAPER) 560 GSM</t>
        </is>
      </c>
      <c r="F195" s="706" t="inlineStr">
        <is>
          <t>B</t>
        </is>
      </c>
      <c r="G195" s="706" t="n">
        <v>0</v>
      </c>
      <c r="H195" s="706" t="inlineStr">
        <is>
          <t>3 Ply</t>
        </is>
      </c>
      <c r="I195" s="706" t="inlineStr">
        <is>
          <t>FULL &amp; WHITE</t>
        </is>
      </c>
      <c r="J195" s="706" t="n"/>
      <c r="K195" s="706" t="inlineStr">
        <is>
          <t>Inlay</t>
        </is>
      </c>
      <c r="L195" s="300" t="n"/>
      <c r="M195" s="300" t="n"/>
      <c r="N195" s="309" t="n"/>
      <c r="O195" s="16" t="inlineStr">
        <is>
          <t>Semi Kraft</t>
        </is>
      </c>
      <c r="P195" s="17" t="n">
        <v>150</v>
      </c>
      <c r="Q195" s="17" t="n"/>
      <c r="R195" s="17" t="n"/>
      <c r="S195" s="455" t="n">
        <v>41</v>
      </c>
      <c r="T195" s="61">
        <f>ROUNDUP($T194,0)+0.2</f>
        <v/>
      </c>
      <c r="U195" s="61">
        <f>ROUNDUP($U194,0)+0.3</f>
        <v/>
      </c>
      <c r="V195" s="903">
        <f>((T195*U195*P195*1.45)/1550)/1000</f>
        <v/>
      </c>
      <c r="W195" s="903">
        <f>V195*S195</f>
        <v/>
      </c>
      <c r="X195" s="903">
        <f>(V195*3%)</f>
        <v/>
      </c>
      <c r="Y195" s="903">
        <f>X195*S195</f>
        <v/>
      </c>
      <c r="Z195" s="903">
        <f>W195+Y195</f>
        <v/>
      </c>
      <c r="AA195" s="903" t="n">
        <v>6.85</v>
      </c>
      <c r="AB195" s="903">
        <f>(V195+X195)*AA195</f>
        <v/>
      </c>
      <c r="AC195" s="650">
        <f>0.5/3</f>
        <v/>
      </c>
      <c r="AD195" s="650" t="n">
        <v>0</v>
      </c>
      <c r="AE195" s="650" t="n">
        <v>0</v>
      </c>
      <c r="AF195" s="650">
        <f>AB195+AC195+AD195+AE195</f>
        <v/>
      </c>
      <c r="AG195" s="650">
        <f>0.1/3</f>
        <v/>
      </c>
      <c r="AH195" s="650">
        <f>(Z195+AF195+AG195)*10%</f>
        <v/>
      </c>
      <c r="AI195" s="650" t="n">
        <v>0</v>
      </c>
      <c r="AJ195" s="864">
        <f>Z195+AF195+AG195+AH195-AI195</f>
        <v/>
      </c>
      <c r="AK195" s="505" t="inlineStr">
        <is>
          <t>ok</t>
        </is>
      </c>
    </row>
    <row r="196">
      <c r="A196" s="706" t="n">
        <v>63</v>
      </c>
      <c r="B196" s="299" t="n">
        <v>46266</v>
      </c>
      <c r="C196" s="706" t="inlineStr">
        <is>
          <t>SKE</t>
        </is>
      </c>
      <c r="D196" s="706" t="n"/>
      <c r="E196" s="1026" t="inlineStr">
        <is>
          <t>WHITE INLAY 2D- 3 Ply (ONE SIDE WHITE PAPER) 560 GSM</t>
        </is>
      </c>
      <c r="F196" s="706" t="inlineStr">
        <is>
          <t>B</t>
        </is>
      </c>
      <c r="G196" s="706" t="n">
        <v>0</v>
      </c>
      <c r="H196" s="706" t="inlineStr">
        <is>
          <t>3 Ply</t>
        </is>
      </c>
      <c r="I196" s="706" t="inlineStr">
        <is>
          <t>FULL &amp; WHITE</t>
        </is>
      </c>
      <c r="J196" s="706" t="n"/>
      <c r="K196" s="706" t="inlineStr">
        <is>
          <t>Inlay</t>
        </is>
      </c>
      <c r="L196" s="300" t="n"/>
      <c r="M196" s="300" t="n"/>
      <c r="N196" s="309" t="n"/>
      <c r="O196" s="16" t="inlineStr">
        <is>
          <t>Virgin Kraft</t>
        </is>
      </c>
      <c r="P196" s="17" t="n">
        <v>180</v>
      </c>
      <c r="Q196" s="17" t="n"/>
      <c r="R196" s="17" t="n"/>
      <c r="S196" s="455" t="n">
        <v>43.5</v>
      </c>
      <c r="T196" s="61">
        <f>T195</f>
        <v/>
      </c>
      <c r="U196" s="61">
        <f>U195</f>
        <v/>
      </c>
      <c r="V196" s="903">
        <f>((T196*U196*P196)/1550)/1000</f>
        <v/>
      </c>
      <c r="W196" s="903">
        <f>V196*S196</f>
        <v/>
      </c>
      <c r="X196" s="903">
        <f>(V196*3%)</f>
        <v/>
      </c>
      <c r="Y196" s="903">
        <f>X196*S196</f>
        <v/>
      </c>
      <c r="Z196" s="903">
        <f>W196+Y196</f>
        <v/>
      </c>
      <c r="AA196" s="903" t="n">
        <v>6.85</v>
      </c>
      <c r="AB196" s="903">
        <f>(V196+X196)*AA196</f>
        <v/>
      </c>
      <c r="AC196" s="650">
        <f>0.5/3</f>
        <v/>
      </c>
      <c r="AD196" s="650" t="n">
        <v>0</v>
      </c>
      <c r="AE196" s="650" t="n">
        <v>0</v>
      </c>
      <c r="AF196" s="650">
        <f>AB196+AC196+AD196+AE196</f>
        <v/>
      </c>
      <c r="AG196" s="650">
        <f>0.1/3</f>
        <v/>
      </c>
      <c r="AH196" s="650">
        <f>(Z196+AF196+AG196)*10%</f>
        <v/>
      </c>
      <c r="AI196" s="650" t="n">
        <v>0</v>
      </c>
      <c r="AJ196" s="864">
        <f>Z196+AF196+AG196+AH196-AI196</f>
        <v/>
      </c>
      <c r="AK196" s="506" t="n"/>
    </row>
    <row r="197" ht="16.5" customHeight="1">
      <c r="A197" s="706" t="n">
        <v>64</v>
      </c>
      <c r="B197" s="299" t="n">
        <v>46266</v>
      </c>
      <c r="C197" s="706" t="inlineStr">
        <is>
          <t>SKE</t>
        </is>
      </c>
      <c r="D197" s="706" t="n"/>
      <c r="E197" s="1032" t="inlineStr">
        <is>
          <t>WHITE INLAY SIDES 2D- 3 Ply (BOTH SIDE WHITE PAPER) 610 GSM</t>
        </is>
      </c>
      <c r="F197" s="706" t="inlineStr">
        <is>
          <t>B</t>
        </is>
      </c>
      <c r="G197" s="706" t="n">
        <v>0</v>
      </c>
      <c r="H197" s="706" t="inlineStr">
        <is>
          <t>3 Ply</t>
        </is>
      </c>
      <c r="I197" s="706" t="inlineStr">
        <is>
          <t>FULL &amp; WHITE</t>
        </is>
      </c>
      <c r="J197" s="706" t="n"/>
      <c r="K197" s="706" t="inlineStr">
        <is>
          <t>Inlay</t>
        </is>
      </c>
      <c r="L197" s="300" t="n">
        <v>100</v>
      </c>
      <c r="M197" s="300" t="n">
        <v>100</v>
      </c>
      <c r="N197" s="309" t="n"/>
      <c r="O197" s="16" t="inlineStr">
        <is>
          <t>Duplex</t>
        </is>
      </c>
      <c r="P197" s="17" t="n">
        <v>230</v>
      </c>
      <c r="Q197" s="17" t="n"/>
      <c r="R197" s="17" t="n"/>
      <c r="S197" s="455" t="n">
        <v>62</v>
      </c>
      <c r="T197" s="150">
        <f>(M197+15)/25.4</f>
        <v/>
      </c>
      <c r="U197" s="150">
        <f>(L197+15)/25.4</f>
        <v/>
      </c>
      <c r="V197" s="903">
        <f>((T198*U198*P197)/1550)/1000</f>
        <v/>
      </c>
      <c r="W197" s="903">
        <f>V197*S197</f>
        <v/>
      </c>
      <c r="X197" s="903">
        <f>(V197*3%)</f>
        <v/>
      </c>
      <c r="Y197" s="903">
        <f>X197*S197</f>
        <v/>
      </c>
      <c r="Z197" s="903">
        <f>W197+Y197</f>
        <v/>
      </c>
      <c r="AA197" s="903" t="n">
        <v>6.85</v>
      </c>
      <c r="AB197" s="903">
        <f>(V197+X197)*AA197</f>
        <v/>
      </c>
      <c r="AC197" s="650">
        <f>0.5/3</f>
        <v/>
      </c>
      <c r="AD197" s="650" t="n">
        <v>0</v>
      </c>
      <c r="AE197" s="650" t="n">
        <v>0</v>
      </c>
      <c r="AF197" s="650">
        <f>AB197+AC197+AD197+AE197</f>
        <v/>
      </c>
      <c r="AG197" s="650">
        <f>0.1/3</f>
        <v/>
      </c>
      <c r="AH197" s="650">
        <f>(Z197+AF197+AG197)*10%</f>
        <v/>
      </c>
      <c r="AI197" s="650" t="n">
        <v>0</v>
      </c>
      <c r="AJ197" s="864">
        <f>Z197+AF197+AG197+AH197-AI197</f>
        <v/>
      </c>
      <c r="AK197" s="504">
        <f>AJ197+AJ198+AJ199</f>
        <v/>
      </c>
    </row>
    <row r="198">
      <c r="A198" s="706" t="n">
        <v>64</v>
      </c>
      <c r="B198" s="299" t="n">
        <v>46266</v>
      </c>
      <c r="C198" s="706" t="inlineStr">
        <is>
          <t>SKE</t>
        </is>
      </c>
      <c r="D198" s="706" t="n"/>
      <c r="E198" s="1032" t="inlineStr">
        <is>
          <t>WHITE INLAY SIDES 2D- 3 Ply (BOTH SIDE WHITE PAPER) 610 GSM</t>
        </is>
      </c>
      <c r="F198" s="706" t="inlineStr">
        <is>
          <t>B</t>
        </is>
      </c>
      <c r="G198" s="706" t="n">
        <v>0</v>
      </c>
      <c r="H198" s="706" t="inlineStr">
        <is>
          <t>3 Ply</t>
        </is>
      </c>
      <c r="I198" s="706" t="inlineStr">
        <is>
          <t>FULL &amp; WHITE</t>
        </is>
      </c>
      <c r="J198" s="706" t="n"/>
      <c r="K198" s="706" t="inlineStr">
        <is>
          <t>Inlay</t>
        </is>
      </c>
      <c r="L198" s="300" t="n"/>
      <c r="M198" s="300" t="n"/>
      <c r="N198" s="309" t="n"/>
      <c r="O198" s="16" t="inlineStr">
        <is>
          <t>Semi Kraft</t>
        </is>
      </c>
      <c r="P198" s="17" t="n">
        <v>150</v>
      </c>
      <c r="Q198" s="17" t="n"/>
      <c r="R198" s="17" t="n"/>
      <c r="S198" s="455" t="n">
        <v>41</v>
      </c>
      <c r="T198" s="61">
        <f>ROUNDUP($T197,0)+0.2</f>
        <v/>
      </c>
      <c r="U198" s="61">
        <f>ROUNDUP($U197,0)+0.3</f>
        <v/>
      </c>
      <c r="V198" s="903">
        <f>((T198*U198*P198*1.45)/1550)/1000</f>
        <v/>
      </c>
      <c r="W198" s="903">
        <f>V198*S198</f>
        <v/>
      </c>
      <c r="X198" s="903">
        <f>(V198*3%)</f>
        <v/>
      </c>
      <c r="Y198" s="903">
        <f>X198*S198</f>
        <v/>
      </c>
      <c r="Z198" s="903">
        <f>W198+Y198</f>
        <v/>
      </c>
      <c r="AA198" s="903" t="n">
        <v>6.85</v>
      </c>
      <c r="AB198" s="903">
        <f>(V198+X198)*AA198</f>
        <v/>
      </c>
      <c r="AC198" s="650">
        <f>0.5/3</f>
        <v/>
      </c>
      <c r="AD198" s="650" t="n">
        <v>0</v>
      </c>
      <c r="AE198" s="650" t="n">
        <v>0</v>
      </c>
      <c r="AF198" s="650">
        <f>AB198+AC198+AD198+AE198</f>
        <v/>
      </c>
      <c r="AG198" s="650">
        <f>0.1/3</f>
        <v/>
      </c>
      <c r="AH198" s="650">
        <f>(Z198+AF198+AG198)*10%</f>
        <v/>
      </c>
      <c r="AI198" s="650" t="n">
        <v>0</v>
      </c>
      <c r="AJ198" s="864">
        <f>Z198+AF198+AG198+AH198-AI198</f>
        <v/>
      </c>
      <c r="AK198" s="505" t="inlineStr">
        <is>
          <t>ok</t>
        </is>
      </c>
    </row>
    <row r="199">
      <c r="A199" s="706" t="n">
        <v>64</v>
      </c>
      <c r="B199" s="299" t="n">
        <v>46266</v>
      </c>
      <c r="C199" s="706" t="inlineStr">
        <is>
          <t>SKE</t>
        </is>
      </c>
      <c r="D199" s="706" t="n"/>
      <c r="E199" s="1032" t="inlineStr">
        <is>
          <t>WHITE INLAY SIDES 2D- 3 Ply (BOTH SIDE WHITE PAPER) 610 GSM</t>
        </is>
      </c>
      <c r="F199" s="706" t="inlineStr">
        <is>
          <t>B</t>
        </is>
      </c>
      <c r="G199" s="706" t="n">
        <v>0</v>
      </c>
      <c r="H199" s="706" t="inlineStr">
        <is>
          <t>3 Ply</t>
        </is>
      </c>
      <c r="I199" s="706" t="inlineStr">
        <is>
          <t>FULL &amp; WHITE</t>
        </is>
      </c>
      <c r="J199" s="706" t="n"/>
      <c r="K199" s="706" t="inlineStr">
        <is>
          <t>Inlay</t>
        </is>
      </c>
      <c r="L199" s="300" t="n"/>
      <c r="M199" s="300" t="n"/>
      <c r="N199" s="309" t="n"/>
      <c r="O199" s="16" t="inlineStr">
        <is>
          <t>Duplex</t>
        </is>
      </c>
      <c r="P199" s="17" t="n">
        <v>230</v>
      </c>
      <c r="Q199" s="17" t="n"/>
      <c r="R199" s="17" t="n"/>
      <c r="S199" s="455" t="n">
        <v>62</v>
      </c>
      <c r="T199" s="61">
        <f>T198</f>
        <v/>
      </c>
      <c r="U199" s="61">
        <f>U198</f>
        <v/>
      </c>
      <c r="V199" s="903">
        <f>((T199*U199*P199)/1550)/1000</f>
        <v/>
      </c>
      <c r="W199" s="903">
        <f>V199*S199</f>
        <v/>
      </c>
      <c r="X199" s="903">
        <f>(V199*3%)</f>
        <v/>
      </c>
      <c r="Y199" s="903">
        <f>X199*S199</f>
        <v/>
      </c>
      <c r="Z199" s="903">
        <f>W199+Y199</f>
        <v/>
      </c>
      <c r="AA199" s="903" t="n">
        <v>6.85</v>
      </c>
      <c r="AB199" s="903">
        <f>(V199+X199)*AA199</f>
        <v/>
      </c>
      <c r="AC199" s="650">
        <f>0.5/3</f>
        <v/>
      </c>
      <c r="AD199" s="650" t="n">
        <v>0</v>
      </c>
      <c r="AE199" s="650" t="n">
        <v>0</v>
      </c>
      <c r="AF199" s="650">
        <f>AB199+AC199+AD199+AE199</f>
        <v/>
      </c>
      <c r="AG199" s="650">
        <f>0.1/3</f>
        <v/>
      </c>
      <c r="AH199" s="650">
        <f>(Z199+AF199+AG199)*10%</f>
        <v/>
      </c>
      <c r="AI199" s="650" t="n">
        <v>0</v>
      </c>
      <c r="AJ199" s="864">
        <f>Z199+AF199+AG199+AH199-AI199</f>
        <v/>
      </c>
      <c r="AK199" s="505" t="n"/>
    </row>
    <row r="200">
      <c r="A200" s="706" t="n">
        <v>65</v>
      </c>
      <c r="B200" s="299" t="n">
        <v>46266</v>
      </c>
      <c r="C200" s="706" t="inlineStr">
        <is>
          <t>SKE</t>
        </is>
      </c>
      <c r="D200" s="706" t="n"/>
      <c r="E200" s="1026" t="inlineStr">
        <is>
          <t>WHITE INLAY 2D- 3 Ply--HOT LAM COATING 560 GSM</t>
        </is>
      </c>
      <c r="F200" s="706" t="inlineStr">
        <is>
          <t>B</t>
        </is>
      </c>
      <c r="G200" s="706" t="n">
        <v>0</v>
      </c>
      <c r="H200" s="706" t="inlineStr">
        <is>
          <t>3 Ply</t>
        </is>
      </c>
      <c r="I200" s="167" t="inlineStr">
        <is>
          <t>KEL &amp; HOT LAM</t>
        </is>
      </c>
      <c r="J200" s="167" t="n"/>
      <c r="K200" s="706" t="inlineStr">
        <is>
          <t>Inlay</t>
        </is>
      </c>
      <c r="L200" s="300" t="n">
        <v>100</v>
      </c>
      <c r="M200" s="300" t="n">
        <v>100</v>
      </c>
      <c r="N200" s="309" t="n"/>
      <c r="O200" s="16" t="inlineStr">
        <is>
          <t>Duplex</t>
        </is>
      </c>
      <c r="P200" s="17" t="n">
        <v>230</v>
      </c>
      <c r="Q200" s="167" t="n"/>
      <c r="R200" s="167" t="n"/>
      <c r="S200" s="455" t="n">
        <v>62</v>
      </c>
      <c r="T200" s="150">
        <f>(M200+15)/25.4</f>
        <v/>
      </c>
      <c r="U200" s="150">
        <f>(L200+15)/25.4</f>
        <v/>
      </c>
      <c r="V200" s="903">
        <f>((T201*U201*P200)/1550)/1000</f>
        <v/>
      </c>
      <c r="W200" s="903">
        <f>V200*S200</f>
        <v/>
      </c>
      <c r="X200" s="903">
        <f>(V200*3%)</f>
        <v/>
      </c>
      <c r="Y200" s="903">
        <f>X200*S200</f>
        <v/>
      </c>
      <c r="Z200" s="903">
        <f>W200+Y200</f>
        <v/>
      </c>
      <c r="AA200" s="903" t="n">
        <v>6.85</v>
      </c>
      <c r="AB200" s="903">
        <f>(V200+X200)*AA200</f>
        <v/>
      </c>
      <c r="AC200" s="650">
        <f>0.5/3</f>
        <v/>
      </c>
      <c r="AD200" s="650">
        <f>(T200*U200)/225/3</f>
        <v/>
      </c>
      <c r="AE200" s="650" t="n">
        <v>0</v>
      </c>
      <c r="AF200" s="650">
        <f>AB200+AC200+AD200+AE200</f>
        <v/>
      </c>
      <c r="AG200" s="650">
        <f>0.1/3</f>
        <v/>
      </c>
      <c r="AH200" s="650">
        <f>(Z200+AF200+AG200)*10%</f>
        <v/>
      </c>
      <c r="AI200" s="650" t="n">
        <v>0</v>
      </c>
      <c r="AJ200" s="864">
        <f>Z200+AF200+AG200+AH200-AI200</f>
        <v/>
      </c>
      <c r="AK200" s="505">
        <f>AJ200+AJ201+AJ202</f>
        <v/>
      </c>
    </row>
    <row r="201">
      <c r="A201" s="706" t="n">
        <v>65</v>
      </c>
      <c r="B201" s="299" t="n">
        <v>46266</v>
      </c>
      <c r="C201" s="706" t="inlineStr">
        <is>
          <t>SKE</t>
        </is>
      </c>
      <c r="D201" s="706" t="n"/>
      <c r="E201" s="1026" t="inlineStr">
        <is>
          <t>WHITE INLAY 2D- 3 Ply--HOT LAM COATING 560 GSM</t>
        </is>
      </c>
      <c r="F201" s="706" t="inlineStr">
        <is>
          <t>B</t>
        </is>
      </c>
      <c r="G201" s="706" t="n">
        <v>0</v>
      </c>
      <c r="H201" s="706" t="inlineStr">
        <is>
          <t>3 Ply</t>
        </is>
      </c>
      <c r="I201" s="167" t="inlineStr">
        <is>
          <t>KEL &amp; HOT LAM</t>
        </is>
      </c>
      <c r="J201" s="167" t="n"/>
      <c r="K201" s="706" t="inlineStr">
        <is>
          <t>Inlay</t>
        </is>
      </c>
      <c r="L201" s="300" t="n"/>
      <c r="M201" s="300" t="n"/>
      <c r="N201" s="309" t="n"/>
      <c r="O201" s="16" t="inlineStr">
        <is>
          <t>Semi Kraft</t>
        </is>
      </c>
      <c r="P201" s="17" t="n">
        <v>150</v>
      </c>
      <c r="Q201" s="167" t="n"/>
      <c r="R201" s="167" t="n"/>
      <c r="S201" s="455" t="n">
        <v>41</v>
      </c>
      <c r="T201" s="61">
        <f>ROUNDUP($T200,0)+0.2</f>
        <v/>
      </c>
      <c r="U201" s="61">
        <f>ROUNDUP($U200,0)+0.3</f>
        <v/>
      </c>
      <c r="V201" s="903">
        <f>((T201*U201*P201*1.45)/1550)/1000</f>
        <v/>
      </c>
      <c r="W201" s="903">
        <f>V201*S201</f>
        <v/>
      </c>
      <c r="X201" s="903">
        <f>(V201*3%)</f>
        <v/>
      </c>
      <c r="Y201" s="903">
        <f>X201*S201</f>
        <v/>
      </c>
      <c r="Z201" s="903">
        <f>W201+Y201</f>
        <v/>
      </c>
      <c r="AA201" s="903" t="n">
        <v>6.85</v>
      </c>
      <c r="AB201" s="903">
        <f>(V201+X201)*AA201</f>
        <v/>
      </c>
      <c r="AC201" s="650">
        <f>0.5/3</f>
        <v/>
      </c>
      <c r="AD201" s="650">
        <f>(T201*U201)/225/3</f>
        <v/>
      </c>
      <c r="AE201" s="650" t="n">
        <v>0</v>
      </c>
      <c r="AF201" s="650">
        <f>AB201+AC201+AD201+AE201</f>
        <v/>
      </c>
      <c r="AG201" s="650">
        <f>0.1/3</f>
        <v/>
      </c>
      <c r="AH201" s="650">
        <f>(Z201+AF201+AG201)*10%</f>
        <v/>
      </c>
      <c r="AI201" s="650" t="n">
        <v>0</v>
      </c>
      <c r="AJ201" s="864">
        <f>Z201+AF201+AG201+AH201-AI201</f>
        <v/>
      </c>
      <c r="AK201" s="505" t="inlineStr">
        <is>
          <t>ok</t>
        </is>
      </c>
    </row>
    <row r="202">
      <c r="A202" s="706" t="n">
        <v>65</v>
      </c>
      <c r="B202" s="299" t="n">
        <v>46266</v>
      </c>
      <c r="C202" s="706" t="inlineStr">
        <is>
          <t>SKE</t>
        </is>
      </c>
      <c r="D202" s="706" t="n"/>
      <c r="E202" s="1026" t="inlineStr">
        <is>
          <t>WHITE INLAY 2D- 3 Ply--HOT LAM COATING 560 GSM</t>
        </is>
      </c>
      <c r="F202" s="706" t="inlineStr">
        <is>
          <t>B</t>
        </is>
      </c>
      <c r="G202" s="706" t="n">
        <v>0</v>
      </c>
      <c r="H202" s="706" t="inlineStr">
        <is>
          <t>3 Ply</t>
        </is>
      </c>
      <c r="I202" s="167" t="inlineStr">
        <is>
          <t>KEL &amp; HOT LAM</t>
        </is>
      </c>
      <c r="J202" s="167" t="n"/>
      <c r="K202" s="706" t="inlineStr">
        <is>
          <t>Inlay</t>
        </is>
      </c>
      <c r="L202" s="300" t="n"/>
      <c r="M202" s="300" t="n"/>
      <c r="N202" s="309" t="n"/>
      <c r="O202" s="16" t="inlineStr">
        <is>
          <t>Virgin Kraft</t>
        </is>
      </c>
      <c r="P202" s="17" t="n">
        <v>180</v>
      </c>
      <c r="Q202" s="167" t="n"/>
      <c r="R202" s="167" t="n"/>
      <c r="S202" s="455" t="n">
        <v>43.5</v>
      </c>
      <c r="T202" s="61">
        <f>T201</f>
        <v/>
      </c>
      <c r="U202" s="61">
        <f>U201</f>
        <v/>
      </c>
      <c r="V202" s="903">
        <f>((T202*U202*P202)/1550)/1000</f>
        <v/>
      </c>
      <c r="W202" s="903">
        <f>V202*S202</f>
        <v/>
      </c>
      <c r="X202" s="903">
        <f>(V202*3%)</f>
        <v/>
      </c>
      <c r="Y202" s="903">
        <f>X202*S202</f>
        <v/>
      </c>
      <c r="Z202" s="903">
        <f>W202+Y202</f>
        <v/>
      </c>
      <c r="AA202" s="903" t="n">
        <v>6.85</v>
      </c>
      <c r="AB202" s="903">
        <f>(V202+X202)*AA202</f>
        <v/>
      </c>
      <c r="AC202" s="650">
        <f>0.5/3</f>
        <v/>
      </c>
      <c r="AD202" s="650">
        <f>(T202*U202)/225/3</f>
        <v/>
      </c>
      <c r="AE202" s="650" t="n">
        <v>0</v>
      </c>
      <c r="AF202" s="650">
        <f>AB202+AC202+AD202+AE202</f>
        <v/>
      </c>
      <c r="AG202" s="650">
        <f>0.1/3</f>
        <v/>
      </c>
      <c r="AH202" s="650">
        <f>(Z202+AF202+AG202)*10%</f>
        <v/>
      </c>
      <c r="AI202" s="650" t="n">
        <v>0</v>
      </c>
      <c r="AJ202" s="864">
        <f>Z202+AF202+AG202+AH202-AI202</f>
        <v/>
      </c>
      <c r="AK202" s="167" t="n"/>
    </row>
  </sheetData>
  <autoFilter ref="A5:AK202">
    <filterColumn colId="11" hiddenButton="0" showButton="0"/>
    <filterColumn colId="12" hiddenButton="0" showButton="0"/>
    <filterColumn colId="19" hiddenButton="0" showButton="0"/>
  </autoFilter>
  <mergeCells count="14">
    <mergeCell ref="AH4:AI4"/>
    <mergeCell ref="A1:D3"/>
    <mergeCell ref="O1:P3"/>
    <mergeCell ref="A4:N4"/>
    <mergeCell ref="T5:U5"/>
    <mergeCell ref="L5:N5"/>
    <mergeCell ref="E1:F3"/>
    <mergeCell ref="X4:Z4"/>
    <mergeCell ref="O4:W4"/>
    <mergeCell ref="G1:L3"/>
    <mergeCell ref="M1:N3"/>
    <mergeCell ref="S1:V3"/>
    <mergeCell ref="AA4:AF4"/>
    <mergeCell ref="Q1:R3"/>
  </mergeCells>
  <pageMargins left="0.7" right="0.7" top="0.787401575" bottom="0.787401575" header="0.3" footer="0.3"/>
  <pageSetup orientation="portrait" paperSize="9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Mohanta Dibyendu</dc:creator>
  <dcterms:created xsi:type="dcterms:W3CDTF">2024-09-05T12:16:33Z</dcterms:created>
  <dcterms:modified xsi:type="dcterms:W3CDTF">2026-10-01T14:42:51Z</dcterms:modified>
  <cp:lastModifiedBy>Mohanta Dibyendu</cp:lastModifiedBy>
</cp:coreProperties>
</file>